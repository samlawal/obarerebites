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oking Equipment" sheetId="1" state="visible" r:id="rId3"/>
    <sheet name="Electricity &amp; Utilities" sheetId="2" state="visible" r:id="rId4"/>
    <sheet name="Monthly Operating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<sst xmlns="http://schemas.openxmlformats.org/spreadsheetml/2006/main" count="320" uniqueCount="243">
  <si>
    <t xml:space="preserve">OBA RERE BITES — Complete Startup Equipment &amp; Costs</t>
  </si>
  <si>
    <t xml:space="preserve">Item</t>
  </si>
  <si>
    <t xml:space="preserve">Why You Need It</t>
  </si>
  <si>
    <t xml:space="preserve">Where to Buy</t>
  </si>
  <si>
    <t xml:space="preserve">Qty</t>
  </si>
  <si>
    <t xml:space="preserve">Cost (£)</t>
  </si>
  <si>
    <t xml:space="preserve">🍳 ESSENTIAL POTS &amp; PANS</t>
  </si>
  <si>
    <t xml:space="preserve">Large stockpot (15L+)</t>
  </si>
  <si>
    <t xml:space="preserve">Jollof rice batches, soups, ofada stew</t>
  </si>
  <si>
    <t xml:space="preserve">Argos / Amazon</t>
  </si>
  <si>
    <t xml:space="preserve">1</t>
  </si>
  <si>
    <t xml:space="preserve">Medium saucepan (5L)</t>
  </si>
  <si>
    <t xml:space="preserve">Smaller batches, sauces, blanching</t>
  </si>
  <si>
    <t xml:space="preserve">Argos / Tesco</t>
  </si>
  <si>
    <t xml:space="preserve">2</t>
  </si>
  <si>
    <t xml:space="preserve">Large frying pan (30cm)</t>
  </si>
  <si>
    <t xml:space="preserve">Frying plantain, peppered meats, fish</t>
  </si>
  <si>
    <t xml:space="preserve">John Lewis / Argos</t>
  </si>
  <si>
    <t xml:space="preserve">Cast iron skillet</t>
  </si>
  <si>
    <t xml:space="preserve">Grilled meats, suya, fish royale</t>
  </si>
  <si>
    <t xml:space="preserve">Amazon</t>
  </si>
  <si>
    <t xml:space="preserve">Deep fryer or wok (4L)</t>
  </si>
  <si>
    <t xml:space="preserve">Puff puff, chin chin, plantain</t>
  </si>
  <si>
    <t xml:space="preserve">Rice cooker (10-cup)</t>
  </si>
  <si>
    <t xml:space="preserve">Consistent jollof base, saves time</t>
  </si>
  <si>
    <t xml:space="preserve">Pressure cooker (6L)</t>
  </si>
  <si>
    <t xml:space="preserve">Tough cuts, beans, faster prep</t>
  </si>
  <si>
    <t xml:space="preserve">Pestle &amp; mortar</t>
  </si>
  <si>
    <t xml:space="preserve">Pounded yam, fresh spice grinding</t>
  </si>
  <si>
    <t xml:space="preserve">Amazon / African shop</t>
  </si>
  <si>
    <t xml:space="preserve">🔪 KNIVES &amp; PREP TOOLS</t>
  </si>
  <si>
    <t xml:space="preserve">Chef's knife (8-inch)</t>
  </si>
  <si>
    <t xml:space="preserve">Daily prep — meat, veg, herbs</t>
  </si>
  <si>
    <t xml:space="preserve">IKEA / Amazon</t>
  </si>
  <si>
    <t xml:space="preserve">Cleaver</t>
  </si>
  <si>
    <t xml:space="preserve">Bone-in meat, fish prep</t>
  </si>
  <si>
    <t xml:space="preserve">Cutting boards (set of 3)</t>
  </si>
  <si>
    <t xml:space="preserve">Separate raw/cooked/veg — food safety</t>
  </si>
  <si>
    <t xml:space="preserve">IKEA</t>
  </si>
  <si>
    <t xml:space="preserve">1 set</t>
  </si>
  <si>
    <t xml:space="preserve">Mixing bowls (set of 5)</t>
  </si>
  <si>
    <t xml:space="preserve">Marinating, mixing, prep</t>
  </si>
  <si>
    <t xml:space="preserve">Colander / strainer</t>
  </si>
  <si>
    <t xml:space="preserve">Washing rice, draining pasta</t>
  </si>
  <si>
    <t xml:space="preserve">Tesco</t>
  </si>
  <si>
    <t xml:space="preserve">Wooden spoons &amp; spatulas</t>
  </si>
  <si>
    <t xml:space="preserve">Stirring jollof, frying</t>
  </si>
  <si>
    <t xml:space="preserve">IKEA / Tesco</t>
  </si>
  <si>
    <t xml:space="preserve">Tongs (heat-resistant)</t>
  </si>
  <si>
    <t xml:space="preserve">Grilling, frying, plating</t>
  </si>
  <si>
    <t xml:space="preserve">3</t>
  </si>
  <si>
    <t xml:space="preserve">Measuring cups &amp; spoons</t>
  </si>
  <si>
    <t xml:space="preserve">Recipe consistency</t>
  </si>
  <si>
    <t xml:space="preserve">Argos</t>
  </si>
  <si>
    <t xml:space="preserve">Digital kitchen scale</t>
  </si>
  <si>
    <t xml:space="preserve">Portion control — critical for consistency</t>
  </si>
  <si>
    <t xml:space="preserve">Digital food thermometer</t>
  </si>
  <si>
    <t xml:space="preserve">Food safety — check meat temp</t>
  </si>
  <si>
    <t xml:space="preserve">🥫 FOOD STORAGE &amp; CONTAINERS</t>
  </si>
  <si>
    <t xml:space="preserve">Large airtight containers</t>
  </si>
  <si>
    <t xml:space="preserve">Bulk rice, flour, spices storage</t>
  </si>
  <si>
    <t xml:space="preserve">10</t>
  </si>
  <si>
    <t xml:space="preserve">Stainless steel prep trays</t>
  </si>
  <si>
    <t xml:space="preserve">Mise en place, cooked food storage</t>
  </si>
  <si>
    <t xml:space="preserve">6</t>
  </si>
  <si>
    <t xml:space="preserve">Fridge thermometer</t>
  </si>
  <si>
    <t xml:space="preserve">Food safety logs — Environmental Health</t>
  </si>
  <si>
    <t xml:space="preserve">Freezer storage bags</t>
  </si>
  <si>
    <t xml:space="preserve">Marinated proteins, stock portions</t>
  </si>
  <si>
    <t xml:space="preserve">2 boxes</t>
  </si>
  <si>
    <t xml:space="preserve">Vacuum sealer (optional)</t>
  </si>
  <si>
    <t xml:space="preserve">Extended ingredient shelf life</t>
  </si>
  <si>
    <t xml:space="preserve">🔥 KITCHEN APPLIANCES</t>
  </si>
  <si>
    <t xml:space="preserve">Blender (high power 1000W)</t>
  </si>
  <si>
    <t xml:space="preserve">Pepper sauce base, smoothies, zobo</t>
  </si>
  <si>
    <t xml:space="preserve">Food processor</t>
  </si>
  <si>
    <t xml:space="preserve">Chopping veg in bulk, dough</t>
  </si>
  <si>
    <t xml:space="preserve">Hand mixer</t>
  </si>
  <si>
    <t xml:space="preserve">Puff puff batter, dough</t>
  </si>
  <si>
    <t xml:space="preserve">Electric kettle</t>
  </si>
  <si>
    <t xml:space="preserve">Boiled water for prep</t>
  </si>
  <si>
    <t xml:space="preserve">Extra hob ring (camping gas)</t>
  </si>
  <si>
    <t xml:space="preserve">Backup when main hob is full</t>
  </si>
  <si>
    <t xml:space="preserve">Extension lead (heavy duty)</t>
  </si>
  <si>
    <t xml:space="preserve">Powering multiple appliances safely</t>
  </si>
  <si>
    <t xml:space="preserve">Screwfix</t>
  </si>
  <si>
    <t xml:space="preserve">📦 PACKAGING (Initial Stock — 200 orders)</t>
  </si>
  <si>
    <t xml:space="preserve">Kraft paper bowls 750ml + lids</t>
  </si>
  <si>
    <t xml:space="preserve">Main bowl orders</t>
  </si>
  <si>
    <t xml:space="preserve">PaknSave / Amazon</t>
  </si>
  <si>
    <t xml:space="preserve">200</t>
  </si>
  <si>
    <t xml:space="preserve">Smaller containers 500ml</t>
  </si>
  <si>
    <t xml:space="preserve">Snacks, sides, sauces</t>
  </si>
  <si>
    <t xml:space="preserve">100</t>
  </si>
  <si>
    <t xml:space="preserve">Drink cups + lids 500ml</t>
  </si>
  <si>
    <t xml:space="preserve">Zobo, Chapman</t>
  </si>
  <si>
    <t xml:space="preserve">PaknSave</t>
  </si>
  <si>
    <t xml:space="preserve">Cutlery sets (fork, knife, napkin)</t>
  </si>
  <si>
    <t xml:space="preserve">Each order gets one</t>
  </si>
  <si>
    <t xml:space="preserve">Branded stickers (QR code)</t>
  </si>
  <si>
    <t xml:space="preserve">Branding + reorders</t>
  </si>
  <si>
    <t xml:space="preserve">Vistaprint</t>
  </si>
  <si>
    <t xml:space="preserve">500</t>
  </si>
  <si>
    <t xml:space="preserve">Brown paper carrier bags</t>
  </si>
  <si>
    <t xml:space="preserve">Delivery presentation</t>
  </si>
  <si>
    <t xml:space="preserve">Insulated delivery bags (large)</t>
  </si>
  <si>
    <t xml:space="preserve">Keep hot food hot during delivery</t>
  </si>
  <si>
    <t xml:space="preserve">Allergen labels (small stickers)</t>
  </si>
  <si>
    <t xml:space="preserve">Legal requirement for ingredients</t>
  </si>
  <si>
    <t xml:space="preserve">1 roll</t>
  </si>
  <si>
    <t xml:space="preserve">🧼 HYGIENE &amp; SAFETY</t>
  </si>
  <si>
    <t xml:space="preserve">Disposable gloves (box of 100)</t>
  </si>
  <si>
    <t xml:space="preserve">Food handling — legal requirement</t>
  </si>
  <si>
    <t xml:space="preserve">Tesco / Amazon</t>
  </si>
  <si>
    <t xml:space="preserve">5 boxes</t>
  </si>
  <si>
    <t xml:space="preserve">Hair nets / chef caps</t>
  </si>
  <si>
    <t xml:space="preserve">Food safety</t>
  </si>
  <si>
    <t xml:space="preserve">1 pack</t>
  </si>
  <si>
    <t xml:space="preserve">Aprons (washable)</t>
  </si>
  <si>
    <t xml:space="preserve">Cleanliness</t>
  </si>
  <si>
    <t xml:space="preserve">Anti-bacterial spray + bleach</t>
  </si>
  <si>
    <t xml:space="preserve">Daily cleaning</t>
  </si>
  <si>
    <t xml:space="preserve">Bulk</t>
  </si>
  <si>
    <t xml:space="preserve">Cleaning cloths (microfibre)</t>
  </si>
  <si>
    <t xml:space="preserve">Surfaces, equipment</t>
  </si>
  <si>
    <t xml:space="preserve">First aid kit</t>
  </si>
  <si>
    <t xml:space="preserve">Burns and cuts — legal</t>
  </si>
  <si>
    <t xml:space="preserve">Amazon / Argos</t>
  </si>
  <si>
    <t xml:space="preserve">Fire blanket + extinguisher</t>
  </si>
  <si>
    <t xml:space="preserve">Kitchen safety — strongly recommended</t>
  </si>
  <si>
    <t xml:space="preserve">Hand washing soap + sanitiser</t>
  </si>
  <si>
    <t xml:space="preserve">Daily use, near sink</t>
  </si>
  <si>
    <t xml:space="preserve">💷 INITIAL INGREDIENTS (First 2 weeks)</t>
  </si>
  <si>
    <t xml:space="preserve">Rice (basmati + ofada)</t>
  </si>
  <si>
    <t xml:space="preserve">Base for 5 bowl dishes</t>
  </si>
  <si>
    <t xml:space="preserve">Cash &amp; carry</t>
  </si>
  <si>
    <t xml:space="preserve">25kg</t>
  </si>
  <si>
    <t xml:space="preserve">Tomatoes, peppers, onions</t>
  </si>
  <si>
    <t xml:space="preserve">Pepper sauce base</t>
  </si>
  <si>
    <t xml:space="preserve">Chicken (whole + thighs)</t>
  </si>
  <si>
    <t xml:space="preserve">Multiple dishes</t>
  </si>
  <si>
    <t xml:space="preserve">Butcher</t>
  </si>
  <si>
    <t xml:space="preserve">8kg</t>
  </si>
  <si>
    <t xml:space="preserve">Beef + turkey</t>
  </si>
  <si>
    <t xml:space="preserve">Mince, peppered, suya</t>
  </si>
  <si>
    <t xml:space="preserve">5kg</t>
  </si>
  <si>
    <t xml:space="preserve">Whole tilapia (fresh/frozen)</t>
  </si>
  <si>
    <t xml:space="preserve">Queen Esther's</t>
  </si>
  <si>
    <t xml:space="preserve">African shop</t>
  </si>
  <si>
    <t xml:space="preserve">6 fish</t>
  </si>
  <si>
    <t xml:space="preserve">Prawns (king)</t>
  </si>
  <si>
    <t xml:space="preserve">Rere's fried rice</t>
  </si>
  <si>
    <t xml:space="preserve">Frozen aisle</t>
  </si>
  <si>
    <t xml:space="preserve">1kg</t>
  </si>
  <si>
    <t xml:space="preserve">Plantains (ripe + unripe)</t>
  </si>
  <si>
    <t xml:space="preserve">Sides, dodo</t>
  </si>
  <si>
    <t xml:space="preserve">20</t>
  </si>
  <si>
    <t xml:space="preserve">Spices (suya, curry, thyme, etc.)</t>
  </si>
  <si>
    <t xml:space="preserve">Authentic Nigerian flavour</t>
  </si>
  <si>
    <t xml:space="preserve">Set</t>
  </si>
  <si>
    <t xml:space="preserve">Palm oil, vegetable oil</t>
  </si>
  <si>
    <t xml:space="preserve">Cooking base</t>
  </si>
  <si>
    <t xml:space="preserve">5L total</t>
  </si>
  <si>
    <t xml:space="preserve">Flour (plain + yam)</t>
  </si>
  <si>
    <t xml:space="preserve">Puff puff, meat pie, pounded yam</t>
  </si>
  <si>
    <t xml:space="preserve">Tesco / African shop</t>
  </si>
  <si>
    <t xml:space="preserve">10kg</t>
  </si>
  <si>
    <t xml:space="preserve">Hibiscus, ginger, cloves</t>
  </si>
  <si>
    <t xml:space="preserve">Zobo drink</t>
  </si>
  <si>
    <t xml:space="preserve">Egusi (melon seeds), crayfish</t>
  </si>
  <si>
    <t xml:space="preserve">Egusi soup</t>
  </si>
  <si>
    <t xml:space="preserve">1kg each</t>
  </si>
  <si>
    <t xml:space="preserve">Locust beans, stockfish</t>
  </si>
  <si>
    <t xml:space="preserve">Ofada, soups</t>
  </si>
  <si>
    <t xml:space="preserve">GRAND TOTAL — Equipment + Packaging + Initial Stock</t>
  </si>
  <si>
    <t xml:space="preserve">OBA RERE BITES — Electricity, Gas &amp; Utility Costs</t>
  </si>
  <si>
    <t xml:space="preserve">Estimated monthly utility supplement for cooking business (above normal household use)</t>
  </si>
  <si>
    <t xml:space="preserve">Appliance / Use</t>
  </si>
  <si>
    <t xml:space="preserve">Wattage / Type</t>
  </si>
  <si>
    <t xml:space="preserve">Hours/Day</t>
  </si>
  <si>
    <t xml:space="preserve">Days/Month</t>
  </si>
  <si>
    <t xml:space="preserve">Monthly Cost</t>
  </si>
  <si>
    <t xml:space="preserve">Electric hob (induction)</t>
  </si>
  <si>
    <t xml:space="preserve">2000W (electric)</t>
  </si>
  <si>
    <t xml:space="preserve">Electric oven</t>
  </si>
  <si>
    <t xml:space="preserve">2500W (electric)</t>
  </si>
  <si>
    <t xml:space="preserve">Blender (heavy use)</t>
  </si>
  <si>
    <t xml:space="preserve">1000W (electric)</t>
  </si>
  <si>
    <t xml:space="preserve">Rice cooker</t>
  </si>
  <si>
    <t xml:space="preserve">700W (electric)</t>
  </si>
  <si>
    <t xml:space="preserve">Deep fryer</t>
  </si>
  <si>
    <t xml:space="preserve">Hand mixer / food processor</t>
  </si>
  <si>
    <t xml:space="preserve">800W (electric)</t>
  </si>
  <si>
    <t xml:space="preserve">Pressure cooker</t>
  </si>
  <si>
    <t xml:space="preserve">1200W (electric)</t>
  </si>
  <si>
    <t xml:space="preserve">Extra fridge for stock</t>
  </si>
  <si>
    <t xml:space="preserve">150W (electric)</t>
  </si>
  <si>
    <t xml:space="preserve">Lights (kitchen extra hours)</t>
  </si>
  <si>
    <t xml:space="preserve">100W (electric)</t>
  </si>
  <si>
    <t xml:space="preserve">Phone/Tablet charging (orders)</t>
  </si>
  <si>
    <t xml:space="preserve">50W (electric)</t>
  </si>
  <si>
    <t xml:space="preserve">🔥 GAS HOB (if using gas instead of induction)</t>
  </si>
  <si>
    <t xml:space="preserve">Gas hob (2 burners avg)</t>
  </si>
  <si>
    <t xml:space="preserve">6 kW (gas)</t>
  </si>
  <si>
    <t xml:space="preserve">💧 WATER</t>
  </si>
  <si>
    <t xml:space="preserve">Cooking water + ingredient wash</t>
  </si>
  <si>
    <t xml:space="preserve">Water supply</t>
  </si>
  <si>
    <t xml:space="preserve">-</t>
  </si>
  <si>
    <t xml:space="preserve">Dishwashing + cleaning</t>
  </si>
  <si>
    <t xml:space="preserve">TOTAL ADDITIONAL UTILITY COST PER MONTH</t>
  </si>
  <si>
    <t xml:space="preserve">NOTES &amp; ASSUMPTIONS</t>
  </si>
  <si>
    <t xml:space="preserve">• UK electric rate assumed: 27p per kWh (April 2025 average — check your supplier)</t>
  </si>
  <si>
    <t xml:space="preserve">• UK gas rate assumed: 7p per kWh</t>
  </si>
  <si>
    <t xml:space="preserve">• These are SUPPLEMENTARY costs ON TOP of normal household consumption</t>
  </si>
  <si>
    <t xml:space="preserve">• Heavy days (40+ orders) will push costs ~30% higher temporarily</t>
  </si>
  <si>
    <t xml:space="preserve">• Consider HMRC 'Use of Home' allowance: £6/week flat rate (£312/year)</t>
  </si>
  <si>
    <t xml:space="preserve">• Alternative: claim actual business proportion of bills (more admin, often higher)</t>
  </si>
  <si>
    <t xml:space="preserve">• Switch to economy 7 tariff if doing most cooking 12am-7am (unlikely but possible)</t>
  </si>
  <si>
    <t xml:space="preserve">• Solar panels could offset £30-50/month long-term (not feasible for renters)</t>
  </si>
  <si>
    <t xml:space="preserve">Monthly Operating Cost Summary</t>
  </si>
  <si>
    <t xml:space="preserve">Category</t>
  </si>
  <si>
    <t xml:space="preserve">Description</t>
  </si>
  <si>
    <t xml:space="preserve">Utilities (electric/gas/water)</t>
  </si>
  <si>
    <t xml:space="preserve">From Sheet 2</t>
  </si>
  <si>
    <t xml:space="preserve">Phone &amp; Internet (business share)</t>
  </si>
  <si>
    <t xml:space="preserve">Business line + data</t>
  </si>
  <si>
    <t xml:space="preserve">Marketing (Instagram/TikTok ads)</t>
  </si>
  <si>
    <t xml:space="preserve">Promoted posts, campus flyers</t>
  </si>
  <si>
    <t xml:space="preserve">Insurance (monthly equivalent)</t>
  </si>
  <si>
    <t xml:space="preserve">Public liability annual / 12</t>
  </si>
  <si>
    <t xml:space="preserve">Accounting software</t>
  </si>
  <si>
    <t xml:space="preserve">FreeAgent or Xero</t>
  </si>
  <si>
    <t xml:space="preserve">Stripe fees (avg)</t>
  </si>
  <si>
    <t xml:space="preserve">1.4% + 20p × 350 orders/month</t>
  </si>
  <si>
    <t xml:space="preserve">Vehicle/fuel for deliveries</t>
  </si>
  <si>
    <t xml:space="preserve">Personal car deliveries</t>
  </si>
  <si>
    <t xml:space="preserve">Local taxi partnership (overflow)</t>
  </si>
  <si>
    <t xml:space="preserve">Avg 30 deliveries/month × £4</t>
  </si>
  <si>
    <t xml:space="preserve">Cleaning supplies &amp; PPE</t>
  </si>
  <si>
    <t xml:space="preserve">Ongoing replacements</t>
  </si>
  <si>
    <t xml:space="preserve">Miscellaneous / contingency</t>
  </si>
  <si>
    <t xml:space="preserve">Unexpected costs buffer</t>
  </si>
  <si>
    <t xml:space="preserve">TOTAL MONTHLY FIXED COSTS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</si>
</sst>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C6282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21212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0"/>
      <color rgb="FF212121"/>
      <name val="Arial"/>
      <family val="0"/>
      <charset val="1"/>
    </font>
    <font>
      <b val="true"/>
      <sz val="12"/>
      <color rgb="FFC62828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62828"/>
        <bgColor rgb="FF993366"/>
      </patternFill>
    </fill>
    <fill>
      <patternFill patternType="solid">
        <fgColor rgb="FF212121"/>
        <bgColor rgb="FF333300"/>
      </patternFill>
    </fill>
    <fill>
      <patternFill patternType="solid">
        <fgColor rgb="FFF5F5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62828"/>
      <rgbColor rgb="FF993366"/>
      <rgbColor rgb="FF333399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3"/>
      <c r="C4" s="3"/>
      <c r="D4" s="3"/>
      <c r="E4" s="3"/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5" t="s">
        <v>10</v>
      </c>
      <c r="E5" s="6" t="n">
        <v>45</v>
      </c>
    </row>
    <row r="6" customFormat="false" ht="15" hidden="false" customHeight="false" outlineLevel="0" collapsed="false">
      <c r="A6" s="7" t="s">
        <v>11</v>
      </c>
      <c r="B6" s="7" t="s">
        <v>12</v>
      </c>
      <c r="C6" s="7" t="s">
        <v>13</v>
      </c>
      <c r="D6" s="8" t="s">
        <v>14</v>
      </c>
      <c r="E6" s="9" t="n">
        <v>30</v>
      </c>
    </row>
    <row r="7" customFormat="false" ht="15" hidden="false" customHeight="false" outlineLevel="0" collapsed="false">
      <c r="A7" s="4" t="s">
        <v>15</v>
      </c>
      <c r="B7" s="4" t="s">
        <v>16</v>
      </c>
      <c r="C7" s="4" t="s">
        <v>17</v>
      </c>
      <c r="D7" s="5" t="s">
        <v>10</v>
      </c>
      <c r="E7" s="6" t="n">
        <v>25</v>
      </c>
    </row>
    <row r="8" customFormat="false" ht="15" hidden="false" customHeight="false" outlineLevel="0" collapsed="false">
      <c r="A8" s="7" t="s">
        <v>18</v>
      </c>
      <c r="B8" s="7" t="s">
        <v>19</v>
      </c>
      <c r="C8" s="7" t="s">
        <v>20</v>
      </c>
      <c r="D8" s="8" t="s">
        <v>10</v>
      </c>
      <c r="E8" s="9" t="n">
        <v>35</v>
      </c>
    </row>
    <row r="9" customFormat="false" ht="15" hidden="false" customHeight="false" outlineLevel="0" collapsed="false">
      <c r="A9" s="4" t="s">
        <v>21</v>
      </c>
      <c r="B9" s="4" t="s">
        <v>22</v>
      </c>
      <c r="C9" s="4" t="s">
        <v>9</v>
      </c>
      <c r="D9" s="5" t="s">
        <v>10</v>
      </c>
      <c r="E9" s="6" t="n">
        <v>40</v>
      </c>
    </row>
    <row r="10" customFormat="false" ht="15" hidden="false" customHeight="false" outlineLevel="0" collapsed="false">
      <c r="A10" s="7" t="s">
        <v>23</v>
      </c>
      <c r="B10" s="7" t="s">
        <v>24</v>
      </c>
      <c r="C10" s="7" t="s">
        <v>13</v>
      </c>
      <c r="D10" s="8" t="s">
        <v>10</v>
      </c>
      <c r="E10" s="9" t="n">
        <v>35</v>
      </c>
    </row>
    <row r="11" customFormat="false" ht="15" hidden="false" customHeight="false" outlineLevel="0" collapsed="false">
      <c r="A11" s="4" t="s">
        <v>25</v>
      </c>
      <c r="B11" s="4" t="s">
        <v>26</v>
      </c>
      <c r="C11" s="4" t="s">
        <v>9</v>
      </c>
      <c r="D11" s="5" t="s">
        <v>10</v>
      </c>
      <c r="E11" s="6" t="n">
        <v>40</v>
      </c>
    </row>
    <row r="12" customFormat="false" ht="15" hidden="false" customHeight="false" outlineLevel="0" collapsed="false">
      <c r="A12" s="7" t="s">
        <v>27</v>
      </c>
      <c r="B12" s="7" t="s">
        <v>28</v>
      </c>
      <c r="C12" s="7" t="s">
        <v>29</v>
      </c>
      <c r="D12" s="8" t="s">
        <v>10</v>
      </c>
      <c r="E12" s="9" t="n">
        <v>20</v>
      </c>
    </row>
    <row r="13" customFormat="false" ht="15" hidden="false" customHeight="false" outlineLevel="0" collapsed="false">
      <c r="A13" s="3" t="s">
        <v>30</v>
      </c>
      <c r="B13" s="3"/>
      <c r="C13" s="3"/>
      <c r="D13" s="3"/>
      <c r="E13" s="3"/>
    </row>
    <row r="14" customFormat="false" ht="15" hidden="false" customHeight="false" outlineLevel="0" collapsed="false">
      <c r="A14" s="4" t="s">
        <v>31</v>
      </c>
      <c r="B14" s="4" t="s">
        <v>32</v>
      </c>
      <c r="C14" s="4" t="s">
        <v>33</v>
      </c>
      <c r="D14" s="5" t="s">
        <v>14</v>
      </c>
      <c r="E14" s="6" t="n">
        <v>30</v>
      </c>
    </row>
    <row r="15" customFormat="false" ht="15" hidden="false" customHeight="false" outlineLevel="0" collapsed="false">
      <c r="A15" s="7" t="s">
        <v>34</v>
      </c>
      <c r="B15" s="7" t="s">
        <v>35</v>
      </c>
      <c r="C15" s="7" t="s">
        <v>20</v>
      </c>
      <c r="D15" s="8" t="s">
        <v>10</v>
      </c>
      <c r="E15" s="9" t="n">
        <v>15</v>
      </c>
    </row>
    <row r="16" customFormat="false" ht="15" hidden="false" customHeight="false" outlineLevel="0" collapsed="false">
      <c r="A16" s="4" t="s">
        <v>36</v>
      </c>
      <c r="B16" s="4" t="s">
        <v>37</v>
      </c>
      <c r="C16" s="4" t="s">
        <v>38</v>
      </c>
      <c r="D16" s="5" t="s">
        <v>39</v>
      </c>
      <c r="E16" s="6" t="n">
        <v>20</v>
      </c>
    </row>
    <row r="17" customFormat="false" ht="15" hidden="false" customHeight="false" outlineLevel="0" collapsed="false">
      <c r="A17" s="7" t="s">
        <v>40</v>
      </c>
      <c r="B17" s="7" t="s">
        <v>41</v>
      </c>
      <c r="C17" s="7" t="s">
        <v>33</v>
      </c>
      <c r="D17" s="8" t="s">
        <v>39</v>
      </c>
      <c r="E17" s="9" t="n">
        <v>18</v>
      </c>
    </row>
    <row r="18" customFormat="false" ht="15" hidden="false" customHeight="false" outlineLevel="0" collapsed="false">
      <c r="A18" s="4" t="s">
        <v>42</v>
      </c>
      <c r="B18" s="4" t="s">
        <v>43</v>
      </c>
      <c r="C18" s="4" t="s">
        <v>44</v>
      </c>
      <c r="D18" s="5" t="s">
        <v>14</v>
      </c>
      <c r="E18" s="6" t="n">
        <v>10</v>
      </c>
    </row>
    <row r="19" customFormat="false" ht="15" hidden="false" customHeight="false" outlineLevel="0" collapsed="false">
      <c r="A19" s="7" t="s">
        <v>45</v>
      </c>
      <c r="B19" s="7" t="s">
        <v>46</v>
      </c>
      <c r="C19" s="7" t="s">
        <v>47</v>
      </c>
      <c r="D19" s="8" t="s">
        <v>39</v>
      </c>
      <c r="E19" s="9" t="n">
        <v>12</v>
      </c>
    </row>
    <row r="20" customFormat="false" ht="15" hidden="false" customHeight="false" outlineLevel="0" collapsed="false">
      <c r="A20" s="4" t="s">
        <v>48</v>
      </c>
      <c r="B20" s="4" t="s">
        <v>49</v>
      </c>
      <c r="C20" s="4" t="s">
        <v>20</v>
      </c>
      <c r="D20" s="5" t="s">
        <v>50</v>
      </c>
      <c r="E20" s="6" t="n">
        <v>12</v>
      </c>
    </row>
    <row r="21" customFormat="false" ht="15" hidden="false" customHeight="false" outlineLevel="0" collapsed="false">
      <c r="A21" s="7" t="s">
        <v>51</v>
      </c>
      <c r="B21" s="7" t="s">
        <v>52</v>
      </c>
      <c r="C21" s="7" t="s">
        <v>53</v>
      </c>
      <c r="D21" s="8" t="s">
        <v>39</v>
      </c>
      <c r="E21" s="9" t="n">
        <v>8</v>
      </c>
    </row>
    <row r="22" customFormat="false" ht="15" hidden="false" customHeight="false" outlineLevel="0" collapsed="false">
      <c r="A22" s="4" t="s">
        <v>54</v>
      </c>
      <c r="B22" s="4" t="s">
        <v>55</v>
      </c>
      <c r="C22" s="4" t="s">
        <v>9</v>
      </c>
      <c r="D22" s="5" t="s">
        <v>10</v>
      </c>
      <c r="E22" s="6" t="n">
        <v>15</v>
      </c>
    </row>
    <row r="23" customFormat="false" ht="15" hidden="false" customHeight="false" outlineLevel="0" collapsed="false">
      <c r="A23" s="7" t="s">
        <v>56</v>
      </c>
      <c r="B23" s="7" t="s">
        <v>57</v>
      </c>
      <c r="C23" s="7" t="s">
        <v>20</v>
      </c>
      <c r="D23" s="8" t="s">
        <v>10</v>
      </c>
      <c r="E23" s="9" t="n">
        <v>12</v>
      </c>
    </row>
    <row r="24" customFormat="false" ht="15" hidden="false" customHeight="false" outlineLevel="0" collapsed="false">
      <c r="A24" s="3" t="s">
        <v>58</v>
      </c>
      <c r="B24" s="3"/>
      <c r="C24" s="3"/>
      <c r="D24" s="3"/>
      <c r="E24" s="3"/>
    </row>
    <row r="25" customFormat="false" ht="15" hidden="false" customHeight="false" outlineLevel="0" collapsed="false">
      <c r="A25" s="4" t="s">
        <v>59</v>
      </c>
      <c r="B25" s="4" t="s">
        <v>60</v>
      </c>
      <c r="C25" s="4" t="s">
        <v>20</v>
      </c>
      <c r="D25" s="5" t="s">
        <v>61</v>
      </c>
      <c r="E25" s="6" t="n">
        <v>40</v>
      </c>
    </row>
    <row r="26" customFormat="false" ht="15" hidden="false" customHeight="false" outlineLevel="0" collapsed="false">
      <c r="A26" s="7" t="s">
        <v>62</v>
      </c>
      <c r="B26" s="7" t="s">
        <v>63</v>
      </c>
      <c r="C26" s="7" t="s">
        <v>20</v>
      </c>
      <c r="D26" s="8" t="s">
        <v>64</v>
      </c>
      <c r="E26" s="9" t="n">
        <v>30</v>
      </c>
    </row>
    <row r="27" customFormat="false" ht="15" hidden="false" customHeight="false" outlineLevel="0" collapsed="false">
      <c r="A27" s="4" t="s">
        <v>65</v>
      </c>
      <c r="B27" s="4" t="s">
        <v>66</v>
      </c>
      <c r="C27" s="4" t="s">
        <v>20</v>
      </c>
      <c r="D27" s="5" t="s">
        <v>14</v>
      </c>
      <c r="E27" s="6" t="n">
        <v>8</v>
      </c>
    </row>
    <row r="28" customFormat="false" ht="15" hidden="false" customHeight="false" outlineLevel="0" collapsed="false">
      <c r="A28" s="7" t="s">
        <v>67</v>
      </c>
      <c r="B28" s="7" t="s">
        <v>68</v>
      </c>
      <c r="C28" s="7" t="s">
        <v>44</v>
      </c>
      <c r="D28" s="8" t="s">
        <v>69</v>
      </c>
      <c r="E28" s="9" t="n">
        <v>10</v>
      </c>
    </row>
    <row r="29" customFormat="false" ht="15" hidden="false" customHeight="false" outlineLevel="0" collapsed="false">
      <c r="A29" s="4" t="s">
        <v>70</v>
      </c>
      <c r="B29" s="4" t="s">
        <v>71</v>
      </c>
      <c r="C29" s="4" t="s">
        <v>20</v>
      </c>
      <c r="D29" s="5" t="s">
        <v>10</v>
      </c>
      <c r="E29" s="6" t="n">
        <v>35</v>
      </c>
    </row>
    <row r="30" customFormat="false" ht="15" hidden="false" customHeight="false" outlineLevel="0" collapsed="false">
      <c r="A30" s="3" t="s">
        <v>72</v>
      </c>
      <c r="B30" s="3"/>
      <c r="C30" s="3"/>
      <c r="D30" s="3"/>
      <c r="E30" s="3"/>
    </row>
    <row r="31" customFormat="false" ht="15" hidden="false" customHeight="false" outlineLevel="0" collapsed="false">
      <c r="A31" s="4" t="s">
        <v>73</v>
      </c>
      <c r="B31" s="4" t="s">
        <v>74</v>
      </c>
      <c r="C31" s="4" t="s">
        <v>9</v>
      </c>
      <c r="D31" s="5" t="s">
        <v>10</v>
      </c>
      <c r="E31" s="6" t="n">
        <v>50</v>
      </c>
    </row>
    <row r="32" customFormat="false" ht="15" hidden="false" customHeight="false" outlineLevel="0" collapsed="false">
      <c r="A32" s="7" t="s">
        <v>75</v>
      </c>
      <c r="B32" s="7" t="s">
        <v>76</v>
      </c>
      <c r="C32" s="7" t="s">
        <v>53</v>
      </c>
      <c r="D32" s="8" t="s">
        <v>10</v>
      </c>
      <c r="E32" s="9" t="n">
        <v>40</v>
      </c>
    </row>
    <row r="33" customFormat="false" ht="15" hidden="false" customHeight="false" outlineLevel="0" collapsed="false">
      <c r="A33" s="4" t="s">
        <v>77</v>
      </c>
      <c r="B33" s="4" t="s">
        <v>78</v>
      </c>
      <c r="C33" s="4" t="s">
        <v>44</v>
      </c>
      <c r="D33" s="5" t="s">
        <v>10</v>
      </c>
      <c r="E33" s="6" t="n">
        <v>18</v>
      </c>
    </row>
    <row r="34" customFormat="false" ht="15" hidden="false" customHeight="false" outlineLevel="0" collapsed="false">
      <c r="A34" s="7" t="s">
        <v>79</v>
      </c>
      <c r="B34" s="7" t="s">
        <v>80</v>
      </c>
      <c r="C34" s="7" t="s">
        <v>44</v>
      </c>
      <c r="D34" s="8" t="s">
        <v>10</v>
      </c>
      <c r="E34" s="9" t="n">
        <v>15</v>
      </c>
    </row>
    <row r="35" customFormat="false" ht="15" hidden="false" customHeight="false" outlineLevel="0" collapsed="false">
      <c r="A35" s="4" t="s">
        <v>81</v>
      </c>
      <c r="B35" s="4" t="s">
        <v>82</v>
      </c>
      <c r="C35" s="4" t="s">
        <v>53</v>
      </c>
      <c r="D35" s="5" t="s">
        <v>10</v>
      </c>
      <c r="E35" s="6" t="n">
        <v>25</v>
      </c>
    </row>
    <row r="36" customFormat="false" ht="15" hidden="false" customHeight="false" outlineLevel="0" collapsed="false">
      <c r="A36" s="7" t="s">
        <v>83</v>
      </c>
      <c r="B36" s="7" t="s">
        <v>84</v>
      </c>
      <c r="C36" s="7" t="s">
        <v>85</v>
      </c>
      <c r="D36" s="8" t="s">
        <v>14</v>
      </c>
      <c r="E36" s="9" t="n">
        <v>20</v>
      </c>
    </row>
    <row r="37" customFormat="false" ht="15" hidden="false" customHeight="false" outlineLevel="0" collapsed="false">
      <c r="A37" s="3" t="s">
        <v>86</v>
      </c>
      <c r="B37" s="3"/>
      <c r="C37" s="3"/>
      <c r="D37" s="3"/>
      <c r="E37" s="3"/>
    </row>
    <row r="38" customFormat="false" ht="15" hidden="false" customHeight="false" outlineLevel="0" collapsed="false">
      <c r="A38" s="4" t="s">
        <v>87</v>
      </c>
      <c r="B38" s="4" t="s">
        <v>88</v>
      </c>
      <c r="C38" s="4" t="s">
        <v>89</v>
      </c>
      <c r="D38" s="5" t="s">
        <v>90</v>
      </c>
      <c r="E38" s="6" t="n">
        <v>70</v>
      </c>
    </row>
    <row r="39" customFormat="false" ht="15" hidden="false" customHeight="false" outlineLevel="0" collapsed="false">
      <c r="A39" s="7" t="s">
        <v>91</v>
      </c>
      <c r="B39" s="7" t="s">
        <v>92</v>
      </c>
      <c r="C39" s="7" t="s">
        <v>20</v>
      </c>
      <c r="D39" s="8" t="s">
        <v>93</v>
      </c>
      <c r="E39" s="9" t="n">
        <v>25</v>
      </c>
    </row>
    <row r="40" customFormat="false" ht="15" hidden="false" customHeight="false" outlineLevel="0" collapsed="false">
      <c r="A40" s="4" t="s">
        <v>94</v>
      </c>
      <c r="B40" s="4" t="s">
        <v>95</v>
      </c>
      <c r="C40" s="4" t="s">
        <v>96</v>
      </c>
      <c r="D40" s="5" t="s">
        <v>93</v>
      </c>
      <c r="E40" s="6" t="n">
        <v>15</v>
      </c>
    </row>
    <row r="41" customFormat="false" ht="15" hidden="false" customHeight="false" outlineLevel="0" collapsed="false">
      <c r="A41" s="7" t="s">
        <v>97</v>
      </c>
      <c r="B41" s="7" t="s">
        <v>98</v>
      </c>
      <c r="C41" s="7" t="s">
        <v>20</v>
      </c>
      <c r="D41" s="8" t="s">
        <v>90</v>
      </c>
      <c r="E41" s="9" t="n">
        <v>20</v>
      </c>
    </row>
    <row r="42" customFormat="false" ht="15" hidden="false" customHeight="false" outlineLevel="0" collapsed="false">
      <c r="A42" s="4" t="s">
        <v>99</v>
      </c>
      <c r="B42" s="4" t="s">
        <v>100</v>
      </c>
      <c r="C42" s="4" t="s">
        <v>101</v>
      </c>
      <c r="D42" s="5" t="s">
        <v>102</v>
      </c>
      <c r="E42" s="6" t="n">
        <v>30</v>
      </c>
    </row>
    <row r="43" customFormat="false" ht="15" hidden="false" customHeight="false" outlineLevel="0" collapsed="false">
      <c r="A43" s="7" t="s">
        <v>103</v>
      </c>
      <c r="B43" s="7" t="s">
        <v>104</v>
      </c>
      <c r="C43" s="7" t="s">
        <v>20</v>
      </c>
      <c r="D43" s="8" t="s">
        <v>93</v>
      </c>
      <c r="E43" s="9" t="n">
        <v>18</v>
      </c>
    </row>
    <row r="44" customFormat="false" ht="15" hidden="false" customHeight="false" outlineLevel="0" collapsed="false">
      <c r="A44" s="4" t="s">
        <v>105</v>
      </c>
      <c r="B44" s="4" t="s">
        <v>106</v>
      </c>
      <c r="C44" s="4" t="s">
        <v>20</v>
      </c>
      <c r="D44" s="5" t="s">
        <v>14</v>
      </c>
      <c r="E44" s="6" t="n">
        <v>40</v>
      </c>
    </row>
    <row r="45" customFormat="false" ht="15" hidden="false" customHeight="false" outlineLevel="0" collapsed="false">
      <c r="A45" s="7" t="s">
        <v>107</v>
      </c>
      <c r="B45" s="7" t="s">
        <v>108</v>
      </c>
      <c r="C45" s="7" t="s">
        <v>101</v>
      </c>
      <c r="D45" s="8" t="s">
        <v>109</v>
      </c>
      <c r="E45" s="9" t="n">
        <v>12</v>
      </c>
    </row>
    <row r="46" customFormat="false" ht="15" hidden="false" customHeight="false" outlineLevel="0" collapsed="false">
      <c r="A46" s="3" t="s">
        <v>110</v>
      </c>
      <c r="B46" s="3"/>
      <c r="C46" s="3"/>
      <c r="D46" s="3"/>
      <c r="E46" s="3"/>
    </row>
    <row r="47" customFormat="false" ht="15" hidden="false" customHeight="false" outlineLevel="0" collapsed="false">
      <c r="A47" s="4" t="s">
        <v>111</v>
      </c>
      <c r="B47" s="4" t="s">
        <v>112</v>
      </c>
      <c r="C47" s="4" t="s">
        <v>113</v>
      </c>
      <c r="D47" s="5" t="s">
        <v>114</v>
      </c>
      <c r="E47" s="6" t="n">
        <v>25</v>
      </c>
    </row>
    <row r="48" customFormat="false" ht="15" hidden="false" customHeight="false" outlineLevel="0" collapsed="false">
      <c r="A48" s="7" t="s">
        <v>115</v>
      </c>
      <c r="B48" s="7" t="s">
        <v>116</v>
      </c>
      <c r="C48" s="7" t="s">
        <v>20</v>
      </c>
      <c r="D48" s="8" t="s">
        <v>117</v>
      </c>
      <c r="E48" s="9" t="n">
        <v>8</v>
      </c>
    </row>
    <row r="49" customFormat="false" ht="15" hidden="false" customHeight="false" outlineLevel="0" collapsed="false">
      <c r="A49" s="4" t="s">
        <v>118</v>
      </c>
      <c r="B49" s="4" t="s">
        <v>119</v>
      </c>
      <c r="C49" s="4" t="s">
        <v>20</v>
      </c>
      <c r="D49" s="5" t="s">
        <v>50</v>
      </c>
      <c r="E49" s="6" t="n">
        <v>20</v>
      </c>
    </row>
    <row r="50" customFormat="false" ht="15" hidden="false" customHeight="false" outlineLevel="0" collapsed="false">
      <c r="A50" s="7" t="s">
        <v>120</v>
      </c>
      <c r="B50" s="7" t="s">
        <v>121</v>
      </c>
      <c r="C50" s="7" t="s">
        <v>44</v>
      </c>
      <c r="D50" s="8" t="s">
        <v>122</v>
      </c>
      <c r="E50" s="9" t="n">
        <v>15</v>
      </c>
    </row>
    <row r="51" customFormat="false" ht="15" hidden="false" customHeight="false" outlineLevel="0" collapsed="false">
      <c r="A51" s="4" t="s">
        <v>123</v>
      </c>
      <c r="B51" s="4" t="s">
        <v>124</v>
      </c>
      <c r="C51" s="4" t="s">
        <v>20</v>
      </c>
      <c r="D51" s="5" t="s">
        <v>39</v>
      </c>
      <c r="E51" s="6" t="n">
        <v>12</v>
      </c>
    </row>
    <row r="52" customFormat="false" ht="15" hidden="false" customHeight="false" outlineLevel="0" collapsed="false">
      <c r="A52" s="7" t="s">
        <v>125</v>
      </c>
      <c r="B52" s="7" t="s">
        <v>126</v>
      </c>
      <c r="C52" s="7" t="s">
        <v>127</v>
      </c>
      <c r="D52" s="8" t="s">
        <v>10</v>
      </c>
      <c r="E52" s="9" t="n">
        <v>15</v>
      </c>
    </row>
    <row r="53" customFormat="false" ht="15" hidden="false" customHeight="false" outlineLevel="0" collapsed="false">
      <c r="A53" s="4" t="s">
        <v>128</v>
      </c>
      <c r="B53" s="4" t="s">
        <v>129</v>
      </c>
      <c r="C53" s="4" t="s">
        <v>85</v>
      </c>
      <c r="D53" s="5" t="s">
        <v>39</v>
      </c>
      <c r="E53" s="6" t="n">
        <v>35</v>
      </c>
    </row>
    <row r="54" customFormat="false" ht="15" hidden="false" customHeight="false" outlineLevel="0" collapsed="false">
      <c r="A54" s="7" t="s">
        <v>130</v>
      </c>
      <c r="B54" s="7" t="s">
        <v>131</v>
      </c>
      <c r="C54" s="7" t="s">
        <v>44</v>
      </c>
      <c r="D54" s="8" t="s">
        <v>122</v>
      </c>
      <c r="E54" s="9" t="n">
        <v>10</v>
      </c>
    </row>
    <row r="55" customFormat="false" ht="15" hidden="false" customHeight="false" outlineLevel="0" collapsed="false">
      <c r="A55" s="3" t="s">
        <v>132</v>
      </c>
      <c r="B55" s="3"/>
      <c r="C55" s="3"/>
      <c r="D55" s="3"/>
      <c r="E55" s="3"/>
    </row>
    <row r="56" customFormat="false" ht="15" hidden="false" customHeight="false" outlineLevel="0" collapsed="false">
      <c r="A56" s="4" t="s">
        <v>133</v>
      </c>
      <c r="B56" s="4" t="s">
        <v>134</v>
      </c>
      <c r="C56" s="4" t="s">
        <v>135</v>
      </c>
      <c r="D56" s="5" t="s">
        <v>136</v>
      </c>
      <c r="E56" s="6" t="n">
        <v>35</v>
      </c>
    </row>
    <row r="57" customFormat="false" ht="15" hidden="false" customHeight="false" outlineLevel="0" collapsed="false">
      <c r="A57" s="7" t="s">
        <v>137</v>
      </c>
      <c r="B57" s="7" t="s">
        <v>138</v>
      </c>
      <c r="C57" s="7" t="s">
        <v>135</v>
      </c>
      <c r="D57" s="8" t="s">
        <v>122</v>
      </c>
      <c r="E57" s="9" t="n">
        <v>25</v>
      </c>
    </row>
    <row r="58" customFormat="false" ht="15" hidden="false" customHeight="false" outlineLevel="0" collapsed="false">
      <c r="A58" s="4" t="s">
        <v>139</v>
      </c>
      <c r="B58" s="4" t="s">
        <v>140</v>
      </c>
      <c r="C58" s="4" t="s">
        <v>141</v>
      </c>
      <c r="D58" s="5" t="s">
        <v>142</v>
      </c>
      <c r="E58" s="6" t="n">
        <v>40</v>
      </c>
    </row>
    <row r="59" customFormat="false" ht="15" hidden="false" customHeight="false" outlineLevel="0" collapsed="false">
      <c r="A59" s="7" t="s">
        <v>143</v>
      </c>
      <c r="B59" s="7" t="s">
        <v>144</v>
      </c>
      <c r="C59" s="7" t="s">
        <v>141</v>
      </c>
      <c r="D59" s="8" t="s">
        <v>145</v>
      </c>
      <c r="E59" s="9" t="n">
        <v>35</v>
      </c>
    </row>
    <row r="60" customFormat="false" ht="15" hidden="false" customHeight="false" outlineLevel="0" collapsed="false">
      <c r="A60" s="4" t="s">
        <v>146</v>
      </c>
      <c r="B60" s="4" t="s">
        <v>147</v>
      </c>
      <c r="C60" s="4" t="s">
        <v>148</v>
      </c>
      <c r="D60" s="5" t="s">
        <v>149</v>
      </c>
      <c r="E60" s="6" t="n">
        <v>30</v>
      </c>
    </row>
    <row r="61" customFormat="false" ht="15" hidden="false" customHeight="false" outlineLevel="0" collapsed="false">
      <c r="A61" s="7" t="s">
        <v>150</v>
      </c>
      <c r="B61" s="7" t="s">
        <v>151</v>
      </c>
      <c r="C61" s="7" t="s">
        <v>152</v>
      </c>
      <c r="D61" s="8" t="s">
        <v>153</v>
      </c>
      <c r="E61" s="9" t="n">
        <v>18</v>
      </c>
    </row>
    <row r="62" customFormat="false" ht="15" hidden="false" customHeight="false" outlineLevel="0" collapsed="false">
      <c r="A62" s="4" t="s">
        <v>154</v>
      </c>
      <c r="B62" s="4" t="s">
        <v>155</v>
      </c>
      <c r="C62" s="4" t="s">
        <v>148</v>
      </c>
      <c r="D62" s="5" t="s">
        <v>156</v>
      </c>
      <c r="E62" s="6" t="n">
        <v>12</v>
      </c>
    </row>
    <row r="63" customFormat="false" ht="15" hidden="false" customHeight="false" outlineLevel="0" collapsed="false">
      <c r="A63" s="7" t="s">
        <v>157</v>
      </c>
      <c r="B63" s="7" t="s">
        <v>158</v>
      </c>
      <c r="C63" s="7" t="s">
        <v>148</v>
      </c>
      <c r="D63" s="8" t="s">
        <v>159</v>
      </c>
      <c r="E63" s="9" t="n">
        <v>25</v>
      </c>
    </row>
    <row r="64" customFormat="false" ht="15" hidden="false" customHeight="false" outlineLevel="0" collapsed="false">
      <c r="A64" s="4" t="s">
        <v>160</v>
      </c>
      <c r="B64" s="4" t="s">
        <v>161</v>
      </c>
      <c r="C64" s="4" t="s">
        <v>148</v>
      </c>
      <c r="D64" s="5" t="s">
        <v>162</v>
      </c>
      <c r="E64" s="6" t="n">
        <v>18</v>
      </c>
    </row>
    <row r="65" customFormat="false" ht="15" hidden="false" customHeight="false" outlineLevel="0" collapsed="false">
      <c r="A65" s="7" t="s">
        <v>163</v>
      </c>
      <c r="B65" s="7" t="s">
        <v>164</v>
      </c>
      <c r="C65" s="7" t="s">
        <v>165</v>
      </c>
      <c r="D65" s="8" t="s">
        <v>166</v>
      </c>
      <c r="E65" s="9" t="n">
        <v>15</v>
      </c>
    </row>
    <row r="66" customFormat="false" ht="15" hidden="false" customHeight="false" outlineLevel="0" collapsed="false">
      <c r="A66" s="4" t="s">
        <v>167</v>
      </c>
      <c r="B66" s="4" t="s">
        <v>168</v>
      </c>
      <c r="C66" s="4" t="s">
        <v>148</v>
      </c>
      <c r="D66" s="5" t="s">
        <v>122</v>
      </c>
      <c r="E66" s="6" t="n">
        <v>10</v>
      </c>
    </row>
    <row r="67" customFormat="false" ht="15" hidden="false" customHeight="false" outlineLevel="0" collapsed="false">
      <c r="A67" s="7" t="s">
        <v>169</v>
      </c>
      <c r="B67" s="7" t="s">
        <v>170</v>
      </c>
      <c r="C67" s="7" t="s">
        <v>148</v>
      </c>
      <c r="D67" s="8" t="s">
        <v>171</v>
      </c>
      <c r="E67" s="9" t="n">
        <v>15</v>
      </c>
    </row>
    <row r="68" customFormat="false" ht="15" hidden="false" customHeight="false" outlineLevel="0" collapsed="false">
      <c r="A68" s="4" t="s">
        <v>172</v>
      </c>
      <c r="B68" s="4" t="s">
        <v>173</v>
      </c>
      <c r="C68" s="4" t="s">
        <v>148</v>
      </c>
      <c r="D68" s="5" t="s">
        <v>122</v>
      </c>
      <c r="E68" s="6" t="n">
        <v>12</v>
      </c>
    </row>
    <row r="69" customFormat="false" ht="17.35" hidden="false" customHeight="false" outlineLevel="0" collapsed="false">
      <c r="A69" s="10" t="s">
        <v>174</v>
      </c>
      <c r="B69" s="10"/>
      <c r="C69" s="10"/>
      <c r="D69" s="10"/>
      <c r="E69" s="11" t="n">
        <f aca="false">SUM(E4:E68)</f>
        <v>1373</v>
      </c>
    </row>
  </sheetData>
  <mergeCells count="9">
    <mergeCell ref="A1:E1"/>
    <mergeCell ref="A4:E4"/>
    <mergeCell ref="A13:E13"/>
    <mergeCell ref="A24:E24"/>
    <mergeCell ref="A30:E30"/>
    <mergeCell ref="A37:E37"/>
    <mergeCell ref="A46:E46"/>
    <mergeCell ref="A55:E55"/>
    <mergeCell ref="A69:D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0"/>
    <col collapsed="false" customWidth="true" hidden="false" outlineLevel="0" max="4" min="3" style="0" width="14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175</v>
      </c>
      <c r="B1" s="1"/>
      <c r="C1" s="1"/>
      <c r="D1" s="1"/>
      <c r="E1" s="1"/>
    </row>
    <row r="3" customFormat="false" ht="15" hidden="false" customHeight="false" outlineLevel="0" collapsed="false">
      <c r="A3" s="12" t="s">
        <v>176</v>
      </c>
      <c r="B3" s="12"/>
      <c r="C3" s="12"/>
      <c r="D3" s="12"/>
      <c r="E3" s="12"/>
    </row>
    <row r="5" customFormat="false" ht="15" hidden="false" customHeight="false" outlineLevel="0" collapsed="false">
      <c r="A5" s="2" t="s">
        <v>177</v>
      </c>
      <c r="B5" s="2" t="s">
        <v>178</v>
      </c>
      <c r="C5" s="2" t="s">
        <v>179</v>
      </c>
      <c r="D5" s="2" t="s">
        <v>180</v>
      </c>
      <c r="E5" s="2" t="s">
        <v>181</v>
      </c>
    </row>
    <row r="6" customFormat="false" ht="15" hidden="false" customHeight="false" outlineLevel="0" collapsed="false">
      <c r="A6" s="13" t="s">
        <v>182</v>
      </c>
      <c r="B6" s="13" t="s">
        <v>183</v>
      </c>
      <c r="C6" s="14" t="n">
        <v>4</v>
      </c>
      <c r="D6" s="14" t="n">
        <v>24</v>
      </c>
      <c r="E6" s="15" t="n">
        <f aca="false">(2000/1000)*C6*D6*0.27</f>
        <v>51.84</v>
      </c>
    </row>
    <row r="7" customFormat="false" ht="15" hidden="false" customHeight="false" outlineLevel="0" collapsed="false">
      <c r="A7" s="16" t="s">
        <v>184</v>
      </c>
      <c r="B7" s="16" t="s">
        <v>185</v>
      </c>
      <c r="C7" s="17" t="n">
        <v>2</v>
      </c>
      <c r="D7" s="17" t="n">
        <v>20</v>
      </c>
      <c r="E7" s="18" t="n">
        <f aca="false">(2500/1000)*C7*D7*0.27</f>
        <v>27</v>
      </c>
    </row>
    <row r="8" customFormat="false" ht="15" hidden="false" customHeight="false" outlineLevel="0" collapsed="false">
      <c r="A8" s="13" t="s">
        <v>186</v>
      </c>
      <c r="B8" s="13" t="s">
        <v>187</v>
      </c>
      <c r="C8" s="14" t="n">
        <v>0.5</v>
      </c>
      <c r="D8" s="14" t="n">
        <v>24</v>
      </c>
      <c r="E8" s="15" t="n">
        <f aca="false">(1000/1000)*C8*D8*0.27</f>
        <v>3.24</v>
      </c>
    </row>
    <row r="9" customFormat="false" ht="15" hidden="false" customHeight="false" outlineLevel="0" collapsed="false">
      <c r="A9" s="16" t="s">
        <v>188</v>
      </c>
      <c r="B9" s="16" t="s">
        <v>189</v>
      </c>
      <c r="C9" s="17" t="n">
        <v>2</v>
      </c>
      <c r="D9" s="17" t="n">
        <v>24</v>
      </c>
      <c r="E9" s="18" t="n">
        <f aca="false">(700/1000)*C9*D9*0.27</f>
        <v>9.072</v>
      </c>
    </row>
    <row r="10" customFormat="false" ht="15" hidden="false" customHeight="false" outlineLevel="0" collapsed="false">
      <c r="A10" s="13" t="s">
        <v>190</v>
      </c>
      <c r="B10" s="13" t="s">
        <v>183</v>
      </c>
      <c r="C10" s="14" t="n">
        <v>1.5</v>
      </c>
      <c r="D10" s="14" t="n">
        <v>24</v>
      </c>
      <c r="E10" s="15" t="n">
        <f aca="false">(2000/1000)*C10*D10*0.27</f>
        <v>19.44</v>
      </c>
    </row>
    <row r="11" customFormat="false" ht="15" hidden="false" customHeight="false" outlineLevel="0" collapsed="false">
      <c r="A11" s="16" t="s">
        <v>191</v>
      </c>
      <c r="B11" s="16" t="s">
        <v>192</v>
      </c>
      <c r="C11" s="17" t="n">
        <v>0.5</v>
      </c>
      <c r="D11" s="17" t="n">
        <v>20</v>
      </c>
      <c r="E11" s="18" t="n">
        <f aca="false">(800/1000)*C11*D11*0.27</f>
        <v>2.16</v>
      </c>
    </row>
    <row r="12" customFormat="false" ht="15" hidden="false" customHeight="false" outlineLevel="0" collapsed="false">
      <c r="A12" s="13" t="s">
        <v>193</v>
      </c>
      <c r="B12" s="13" t="s">
        <v>194</v>
      </c>
      <c r="C12" s="14" t="n">
        <v>1</v>
      </c>
      <c r="D12" s="14" t="n">
        <v>18</v>
      </c>
      <c r="E12" s="15" t="n">
        <f aca="false">(1200/1000)*C12*D12*0.27</f>
        <v>5.832</v>
      </c>
    </row>
    <row r="13" customFormat="false" ht="15" hidden="false" customHeight="false" outlineLevel="0" collapsed="false">
      <c r="A13" s="16" t="s">
        <v>195</v>
      </c>
      <c r="B13" s="16" t="s">
        <v>196</v>
      </c>
      <c r="C13" s="17" t="n">
        <v>24</v>
      </c>
      <c r="D13" s="17" t="n">
        <v>30</v>
      </c>
      <c r="E13" s="18" t="n">
        <f aca="false">(150/1000)*C13*D13*0.27</f>
        <v>29.16</v>
      </c>
    </row>
    <row r="14" customFormat="false" ht="15" hidden="false" customHeight="false" outlineLevel="0" collapsed="false">
      <c r="A14" s="13" t="s">
        <v>197</v>
      </c>
      <c r="B14" s="13" t="s">
        <v>198</v>
      </c>
      <c r="C14" s="14" t="n">
        <v>6</v>
      </c>
      <c r="D14" s="14" t="n">
        <v>24</v>
      </c>
      <c r="E14" s="15" t="n">
        <f aca="false">(100/1000)*C14*D14*0.27</f>
        <v>3.888</v>
      </c>
    </row>
    <row r="15" customFormat="false" ht="15" hidden="false" customHeight="false" outlineLevel="0" collapsed="false">
      <c r="A15" s="16" t="s">
        <v>199</v>
      </c>
      <c r="B15" s="16" t="s">
        <v>200</v>
      </c>
      <c r="C15" s="17" t="n">
        <v>8</v>
      </c>
      <c r="D15" s="17" t="n">
        <v>30</v>
      </c>
      <c r="E15" s="18" t="n">
        <f aca="false">(50/1000)*C15*D15*0.27</f>
        <v>3.24</v>
      </c>
    </row>
    <row r="16" customFormat="false" ht="15" hidden="false" customHeight="false" outlineLevel="0" collapsed="false">
      <c r="A16" s="3" t="s">
        <v>201</v>
      </c>
      <c r="B16" s="3"/>
      <c r="C16" s="3"/>
      <c r="D16" s="3"/>
      <c r="E16" s="3"/>
    </row>
    <row r="17" customFormat="false" ht="15" hidden="false" customHeight="false" outlineLevel="0" collapsed="false">
      <c r="A17" s="16" t="s">
        <v>202</v>
      </c>
      <c r="B17" s="16" t="s">
        <v>203</v>
      </c>
      <c r="C17" s="17" t="n">
        <v>4</v>
      </c>
      <c r="D17" s="17" t="n">
        <v>24</v>
      </c>
      <c r="E17" s="18" t="n">
        <f aca="false">6*C17*D17*0.07</f>
        <v>40.32</v>
      </c>
    </row>
    <row r="18" customFormat="false" ht="15" hidden="false" customHeight="false" outlineLevel="0" collapsed="false">
      <c r="A18" s="3" t="s">
        <v>204</v>
      </c>
      <c r="B18" s="3"/>
      <c r="C18" s="3"/>
      <c r="D18" s="3"/>
      <c r="E18" s="3"/>
    </row>
    <row r="19" customFormat="false" ht="15" hidden="false" customHeight="false" outlineLevel="0" collapsed="false">
      <c r="A19" s="16" t="s">
        <v>205</v>
      </c>
      <c r="B19" s="16" t="s">
        <v>206</v>
      </c>
      <c r="C19" s="19" t="s">
        <v>207</v>
      </c>
      <c r="D19" s="19" t="s">
        <v>207</v>
      </c>
      <c r="E19" s="20" t="n">
        <v>60</v>
      </c>
    </row>
    <row r="20" customFormat="false" ht="15" hidden="false" customHeight="false" outlineLevel="0" collapsed="false">
      <c r="A20" s="16" t="s">
        <v>208</v>
      </c>
      <c r="B20" s="16" t="s">
        <v>206</v>
      </c>
      <c r="C20" s="19" t="s">
        <v>207</v>
      </c>
      <c r="D20" s="19" t="s">
        <v>207</v>
      </c>
      <c r="E20" s="20" t="n">
        <v>25</v>
      </c>
    </row>
    <row r="22" customFormat="false" ht="17.35" hidden="false" customHeight="false" outlineLevel="0" collapsed="false">
      <c r="A22" s="21" t="s">
        <v>209</v>
      </c>
      <c r="B22" s="21"/>
      <c r="C22" s="21"/>
      <c r="D22" s="21"/>
      <c r="E22" s="11" t="n">
        <f aca="false">SUM(E6:E20)</f>
        <v>280.192</v>
      </c>
    </row>
    <row r="25" customFormat="false" ht="15" hidden="false" customHeight="false" outlineLevel="0" collapsed="false">
      <c r="A25" s="22" t="s">
        <v>210</v>
      </c>
    </row>
    <row r="26" customFormat="false" ht="15" hidden="false" customHeight="false" outlineLevel="0" collapsed="false">
      <c r="A26" s="23" t="s">
        <v>211</v>
      </c>
      <c r="B26" s="23"/>
      <c r="C26" s="23"/>
      <c r="D26" s="23"/>
      <c r="E26" s="23"/>
    </row>
    <row r="27" customFormat="false" ht="15" hidden="false" customHeight="false" outlineLevel="0" collapsed="false">
      <c r="A27" s="23" t="s">
        <v>212</v>
      </c>
      <c r="B27" s="23"/>
      <c r="C27" s="23"/>
      <c r="D27" s="23"/>
      <c r="E27" s="23"/>
    </row>
    <row r="28" customFormat="false" ht="15" hidden="false" customHeight="false" outlineLevel="0" collapsed="false">
      <c r="A28" s="23" t="s">
        <v>213</v>
      </c>
      <c r="B28" s="23"/>
      <c r="C28" s="23"/>
      <c r="D28" s="23"/>
      <c r="E28" s="23"/>
    </row>
    <row r="29" customFormat="false" ht="15" hidden="false" customHeight="false" outlineLevel="0" collapsed="false">
      <c r="A29" s="23" t="s">
        <v>214</v>
      </c>
      <c r="B29" s="23"/>
      <c r="C29" s="23"/>
      <c r="D29" s="23"/>
      <c r="E29" s="23"/>
    </row>
    <row r="30" customFormat="false" ht="15" hidden="false" customHeight="false" outlineLevel="0" collapsed="false">
      <c r="A30" s="23" t="s">
        <v>215</v>
      </c>
      <c r="B30" s="23"/>
      <c r="C30" s="23"/>
      <c r="D30" s="23"/>
      <c r="E30" s="23"/>
    </row>
    <row r="31" customFormat="false" ht="15" hidden="false" customHeight="false" outlineLevel="0" collapsed="false">
      <c r="A31" s="23" t="s">
        <v>216</v>
      </c>
      <c r="B31" s="23"/>
      <c r="C31" s="23"/>
      <c r="D31" s="23"/>
      <c r="E31" s="23"/>
    </row>
    <row r="32" customFormat="false" ht="15" hidden="false" customHeight="false" outlineLevel="0" collapsed="false">
      <c r="A32" s="23" t="s">
        <v>217</v>
      </c>
      <c r="B32" s="23"/>
      <c r="C32" s="23"/>
      <c r="D32" s="23"/>
      <c r="E32" s="23"/>
    </row>
    <row r="33" customFormat="false" ht="15" hidden="false" customHeight="false" outlineLevel="0" collapsed="false">
      <c r="A33" s="23" t="s">
        <v>218</v>
      </c>
      <c r="B33" s="23"/>
      <c r="C33" s="23"/>
      <c r="D33" s="23"/>
      <c r="E33" s="23"/>
    </row>
  </sheetData>
  <mergeCells count="13">
    <mergeCell ref="A1:E1"/>
    <mergeCell ref="A3:E3"/>
    <mergeCell ref="A16:E16"/>
    <mergeCell ref="A18:E18"/>
    <mergeCell ref="A22:D22"/>
    <mergeCell ref="A26:E26"/>
    <mergeCell ref="A27:E27"/>
    <mergeCell ref="A28:E28"/>
    <mergeCell ref="A29:E29"/>
    <mergeCell ref="A30:E30"/>
    <mergeCell ref="A31:E31"/>
    <mergeCell ref="A32:E32"/>
    <mergeCell ref="A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40"/>
    <col collapsed="false" customWidth="true" hidden="false" outlineLevel="0" max="3" min="3" style="0" width="18"/>
  </cols>
  <sheetData>
    <row r="1" customFormat="false" ht="19.7" hidden="false" customHeight="false" outlineLevel="0" collapsed="false">
      <c r="A1" s="1" t="s">
        <v>219</v>
      </c>
      <c r="B1" s="1"/>
      <c r="C1" s="1"/>
    </row>
    <row r="3" customFormat="false" ht="15" hidden="false" customHeight="false" outlineLevel="0" collapsed="false">
      <c r="A3" s="24" t="s">
        <v>220</v>
      </c>
      <c r="B3" s="24" t="s">
        <v>221</v>
      </c>
      <c r="C3" s="24" t="s">
        <v>181</v>
      </c>
    </row>
    <row r="4" customFormat="false" ht="15" hidden="false" customHeight="false" outlineLevel="0" collapsed="false">
      <c r="A4" s="25" t="s">
        <v>222</v>
      </c>
      <c r="B4" s="13" t="s">
        <v>223</v>
      </c>
      <c r="C4" s="26" t="n">
        <f aca="false">'Electricity &amp; Utilities'!E20</f>
        <v>25</v>
      </c>
    </row>
    <row r="5" customFormat="false" ht="15" hidden="false" customHeight="false" outlineLevel="0" collapsed="false">
      <c r="A5" s="27" t="s">
        <v>224</v>
      </c>
      <c r="B5" s="16" t="s">
        <v>225</v>
      </c>
      <c r="C5" s="20" t="n">
        <v>40</v>
      </c>
    </row>
    <row r="6" customFormat="false" ht="15" hidden="false" customHeight="false" outlineLevel="0" collapsed="false">
      <c r="A6" s="25" t="s">
        <v>226</v>
      </c>
      <c r="B6" s="13" t="s">
        <v>227</v>
      </c>
      <c r="C6" s="28" t="n">
        <v>60</v>
      </c>
    </row>
    <row r="7" customFormat="false" ht="15" hidden="false" customHeight="false" outlineLevel="0" collapsed="false">
      <c r="A7" s="27" t="s">
        <v>228</v>
      </c>
      <c r="B7" s="16" t="s">
        <v>229</v>
      </c>
      <c r="C7" s="20" t="n">
        <v>10</v>
      </c>
    </row>
    <row r="8" customFormat="false" ht="15" hidden="false" customHeight="false" outlineLevel="0" collapsed="false">
      <c r="A8" s="25" t="s">
        <v>230</v>
      </c>
      <c r="B8" s="13" t="s">
        <v>231</v>
      </c>
      <c r="C8" s="28" t="n">
        <v>15</v>
      </c>
    </row>
    <row r="9" customFormat="false" ht="15" hidden="false" customHeight="false" outlineLevel="0" collapsed="false">
      <c r="A9" s="27" t="s">
        <v>232</v>
      </c>
      <c r="B9" s="16" t="s">
        <v>233</v>
      </c>
      <c r="C9" s="20" t="n">
        <v>100</v>
      </c>
    </row>
    <row r="10" customFormat="false" ht="15" hidden="false" customHeight="false" outlineLevel="0" collapsed="false">
      <c r="A10" s="25" t="s">
        <v>234</v>
      </c>
      <c r="B10" s="13" t="s">
        <v>235</v>
      </c>
      <c r="C10" s="28" t="n">
        <v>80</v>
      </c>
    </row>
    <row r="11" customFormat="false" ht="15" hidden="false" customHeight="false" outlineLevel="0" collapsed="false">
      <c r="A11" s="27" t="s">
        <v>236</v>
      </c>
      <c r="B11" s="16" t="s">
        <v>237</v>
      </c>
      <c r="C11" s="20" t="n">
        <v>120</v>
      </c>
    </row>
    <row r="12" customFormat="false" ht="15" hidden="false" customHeight="false" outlineLevel="0" collapsed="false">
      <c r="A12" s="25" t="s">
        <v>238</v>
      </c>
      <c r="B12" s="13" t="s">
        <v>239</v>
      </c>
      <c r="C12" s="28" t="n">
        <v>20</v>
      </c>
    </row>
    <row r="13" customFormat="false" ht="15" hidden="false" customHeight="false" outlineLevel="0" collapsed="false">
      <c r="A13" s="27" t="s">
        <v>240</v>
      </c>
      <c r="B13" s="16" t="s">
        <v>241</v>
      </c>
      <c r="C13" s="20" t="n">
        <v>30</v>
      </c>
    </row>
    <row r="14" customFormat="false" ht="17.35" hidden="false" customHeight="false" outlineLevel="0" collapsed="false">
      <c r="A14" s="29" t="s">
        <v>242</v>
      </c>
      <c r="B14" s="29"/>
      <c r="C14" s="11" t="n">
        <f aca="false">SUM(C4:C13)</f>
        <v>500</v>
      </c>
    </row>
  </sheetData>
  <mergeCells count="2">
    <mergeCell ref="A1:C1"/>
    <mergeCell ref="A14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2026-05-30T10:59:27Z</dcterms:created>
  <dc:creator>openpyxl</dc:creator>
  <dc:description/>
  <dc:language>en-GB</dc:language>
  <cp:lastModifiedBy/>
  <dcterms:modified xsi:type="dcterms:W3CDTF">2026-05-30T10:59:27Z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