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 Cost Breakdown" sheetId="1" state="visible" r:id="rId3"/>
    <sheet name="Weekly Sales Targets" sheetId="2" state="visible" r:id="rId4"/>
    <sheet name="Startup Costs" sheetId="3" state="visible" r:id="rId5"/>
    <sheet name="Break-Even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<sst xmlns="http://schemas.openxmlformats.org/spreadsheetml/2006/main" count="136" uniqueCount="100">
  <si>
    <t xml:space="preserve">OBA RERE BITES — Menu Cost Breakdown</t>
  </si>
  <si>
    <t xml:space="preserve">Menu Item</t>
  </si>
  <si>
    <t xml:space="preserve">Category</t>
  </si>
  <si>
    <t xml:space="preserve">Selling Price</t>
  </si>
  <si>
    <t xml:space="preserve">Ingredient Cost</t>
  </si>
  <si>
    <t xml:space="preserve">Packaging Cost</t>
  </si>
  <si>
    <t xml:space="preserve">Total Cost</t>
  </si>
  <si>
    <t xml:space="preserve">Gross Profit</t>
  </si>
  <si>
    <t xml:space="preserve">Gross Margin</t>
  </si>
  <si>
    <t xml:space="preserve">Oba's Jollof &amp; Peppered Grills</t>
  </si>
  <si>
    <t xml:space="preserve">Bowl</t>
  </si>
  <si>
    <t xml:space="preserve">Rere's Fried Rice &amp; Prawns</t>
  </si>
  <si>
    <t xml:space="preserve">Spaghetti Jollof</t>
  </si>
  <si>
    <t xml:space="preserve">Suya Chicken Jollof Fire</t>
  </si>
  <si>
    <t xml:space="preserve">Ofada Rice &amp; Ayamase</t>
  </si>
  <si>
    <t xml:space="preserve">Queen Esther's Fish Royale</t>
  </si>
  <si>
    <t xml:space="preserve">Egusi &amp; Pounded Yam</t>
  </si>
  <si>
    <t xml:space="preserve">Tobi's Puff Puff Box</t>
  </si>
  <si>
    <t xml:space="preserve">Snack</t>
  </si>
  <si>
    <t xml:space="preserve">Naija Meat Pie</t>
  </si>
  <si>
    <t xml:space="preserve">Chin-Chin Cup</t>
  </si>
  <si>
    <t xml:space="preserve">Zobo</t>
  </si>
  <si>
    <t xml:space="preserve">Drink</t>
  </si>
  <si>
    <t xml:space="preserve">Chapman</t>
  </si>
  <si>
    <t xml:space="preserve">Bottled Water</t>
  </si>
  <si>
    <t xml:space="preserve">AVERAGES</t>
  </si>
  <si>
    <t xml:space="preserve">OBA RERE BITES — Weekly Sales Projections</t>
  </si>
  <si>
    <t xml:space="preserve">CONSERVATIVE (Starting Out)</t>
  </si>
  <si>
    <t xml:space="preserve">MODERATE (Month 3+)</t>
  </si>
  <si>
    <t xml:space="preserve">AMBITIOUS (Month 6+)</t>
  </si>
  <si>
    <t xml:space="preserve">Weekday orders/day</t>
  </si>
  <si>
    <t xml:space="preserve">Weekend orders/day</t>
  </si>
  <si>
    <t xml:space="preserve">Avg order value (£)</t>
  </si>
  <si>
    <t xml:space="preserve">Weekday operating days</t>
  </si>
  <si>
    <t xml:space="preserve">Weekend operating days</t>
  </si>
  <si>
    <t xml:space="preserve">Weekly Orders</t>
  </si>
  <si>
    <t xml:space="preserve">Weekly Revenue</t>
  </si>
  <si>
    <t xml:space="preserve">Ingredient &amp; Packaging (~38%)</t>
  </si>
  <si>
    <t xml:space="preserve">Delivery Cost (£2/order)</t>
  </si>
  <si>
    <t xml:space="preserve">Other Costs (gas/phone/marketing)</t>
  </si>
  <si>
    <t xml:space="preserve">WEEKLY PROFIT</t>
  </si>
  <si>
    <t xml:space="preserve">MONTHLY PROFIT (x4.3)</t>
  </si>
  <si>
    <t xml:space="preserve">ANNUAL PROJECTION</t>
  </si>
  <si>
    <t xml:space="preserve">OBA RERE BITES — Startup &amp; Recurring Costs (Two-tier budget)</t>
  </si>
  <si>
    <t xml:space="preserve">Two budget options: 'Minimum' uses pots/pans you already own; 'Full Kit' buys everything new.</t>
  </si>
  <si>
    <t xml:space="preserve">ONE-TIME STARTUP COSTS</t>
  </si>
  <si>
    <t xml:space="preserve">Food Hygiene Certificate (Level 2)</t>
  </si>
  <si>
    <t xml:space="preserve">Online course + exam</t>
  </si>
  <si>
    <t xml:space="preserve">Council Food Business Registration</t>
  </si>
  <si>
    <t xml:space="preserve">Free — register 28 days before trading</t>
  </si>
  <si>
    <t xml:space="preserve">Kitchen equipment (pots, pans, utensils)</t>
  </si>
  <si>
    <t xml:space="preserve">One-off — use home kitchen</t>
  </si>
  <si>
    <t xml:space="preserve">Initial ingredients stock</t>
  </si>
  <si>
    <t xml:space="preserve">First week of trading stock</t>
  </si>
  <si>
    <t xml:space="preserve">Packaging supplies (first batch)</t>
  </si>
  <si>
    <t xml:space="preserve">Bowls, lids, bags, cutlery</t>
  </si>
  <si>
    <t xml:space="preserve">Insulated delivery bags (x2)</t>
  </si>
  <si>
    <t xml:space="preserve">Keep food hot during delivery</t>
  </si>
  <si>
    <t xml:space="preserve">Business WhatsApp phone/SIM</t>
  </si>
  <si>
    <t xml:space="preserve">Separate business number</t>
  </si>
  <si>
    <t xml:space="preserve">Website hosting (Vercel)</t>
  </si>
  <si>
    <t xml:space="preserve">Free tier sufficient</t>
  </si>
  <si>
    <t xml:space="preserve">Stripe payment setup</t>
  </si>
  <si>
    <t xml:space="preserve">Free — 1.4% + 20p per transaction</t>
  </si>
  <si>
    <t xml:space="preserve">Business cards &amp; flyers (500)</t>
  </si>
  <si>
    <t xml:space="preserve">For freshers fair / campus drops</t>
  </si>
  <si>
    <t xml:space="preserve">Public liability insurance (annual)</t>
  </si>
  <si>
    <t xml:space="preserve">Required for food delivery</t>
  </si>
  <si>
    <t xml:space="preserve">Food safety management pack (HACCP)</t>
  </si>
  <si>
    <t xml:space="preserve">Template pack for records</t>
  </si>
  <si>
    <t xml:space="preserve">TOTAL STARTUP COST</t>
  </si>
  <si>
    <t xml:space="preserve">ALTERNATIVE: FULL KIT (buying everything new)</t>
  </si>
  <si>
    <t xml:space="preserve">Equipment + Packaging + Initial Stock (full)</t>
  </si>
  <si>
    <t xml:space="preserve">See ObaRereBites_Startup_Equipment.xlsx</t>
  </si>
  <si>
    <t xml:space="preserve">Admin &amp; setup (insurance, hygiene cert, etc.)</t>
  </si>
  <si>
    <t xml:space="preserve">Business line + data</t>
  </si>
  <si>
    <t xml:space="preserve">TOTAL FULL KIT STARTUP</t>
  </si>
  <si>
    <t xml:space="preserve">Instagram/TikTok promoted posts</t>
  </si>
  <si>
    <t xml:space="preserve">Insurance (monthly)</t>
  </si>
  <si>
    <t xml:space="preserve">Spread annual cost</t>
  </si>
  <si>
    <t xml:space="preserve">Accounting software (FreeAgent)</t>
  </si>
  <si>
    <t xml:space="preserve">Self-assessment + invoicing</t>
  </si>
  <si>
    <t xml:space="preserve">Miscellaneous / contingency</t>
  </si>
  <si>
    <t xml:space="preserve">Unexpected costs buffer</t>
  </si>
  <si>
    <t xml:space="preserve">TOTAL MONTHLY FIXED COSTS</t>
  </si>
  <si>
    <t xml:space="preserve">OBA RERE BITES — Break-Even Analysis</t>
  </si>
  <si>
    <t xml:space="preserve">Key Assumptions</t>
  </si>
  <si>
    <t xml:space="preserve">Monthly fixed costs</t>
  </si>
  <si>
    <t xml:space="preserve">Average selling price</t>
  </si>
  <si>
    <t xml:space="preserve">Average total cost per item</t>
  </si>
  <si>
    <t xml:space="preserve">Average delivery cost per order</t>
  </si>
  <si>
    <t xml:space="preserve">Average gross profit per order</t>
  </si>
  <si>
    <t xml:space="preserve">Gross margin per order</t>
  </si>
  <si>
    <t xml:space="preserve">Operating days per month</t>
  </si>
  <si>
    <t xml:space="preserve">BREAK-EVEN ORDERS PER MONTH</t>
  </si>
  <si>
    <t xml:space="preserve">BREAK-EVEN ORDERS PER DAY</t>
  </si>
  <si>
    <t xml:space="preserve">DAILY ORDERS → MONTHLY PROFIT</t>
  </si>
  <si>
    <t xml:space="preserve">Orders/Day</t>
  </si>
  <si>
    <t xml:space="preserve">Monthly Orders</t>
  </si>
  <si>
    <t xml:space="preserve">Monthly Profit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</si>
</sst>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0.0%"/>
    <numFmt numFmtId="167" formatCode="#,##0"/>
    <numFmt numFmtId="168" formatCode="\£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628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212121"/>
      <name val="Arial"/>
      <family val="0"/>
      <charset val="1"/>
    </font>
    <font>
      <b val="true"/>
      <sz val="12"/>
      <color rgb="FFC6282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2828"/>
        <bgColor rgb="FF993366"/>
      </patternFill>
    </fill>
    <fill>
      <patternFill patternType="solid">
        <fgColor rgb="FFF5F5F5"/>
        <bgColor rgb="FFFFFFFF"/>
      </patternFill>
    </fill>
    <fill>
      <patternFill patternType="solid">
        <fgColor rgb="FFFFF3C4"/>
        <bgColor rgb="FFFFFF99"/>
      </patternFill>
    </fill>
    <fill>
      <patternFill patternType="solid">
        <fgColor rgb="FF212121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26.2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true" outlineLevel="0" collapsed="false">
      <c r="A4" s="4" t="s">
        <v>9</v>
      </c>
      <c r="B4" s="5" t="s">
        <v>10</v>
      </c>
      <c r="C4" s="6" t="n">
        <v>9.49</v>
      </c>
      <c r="D4" s="6" t="n">
        <v>3.05</v>
      </c>
      <c r="E4" s="6" t="n">
        <v>0.55</v>
      </c>
      <c r="F4" s="6" t="n">
        <f aca="false">D4+E4</f>
        <v>3.6</v>
      </c>
      <c r="G4" s="6" t="n">
        <f aca="false">C4-F4</f>
        <v>5.89</v>
      </c>
      <c r="H4" s="7" t="n">
        <f aca="false">G4/C4</f>
        <v>0.620653319283456</v>
      </c>
    </row>
    <row r="5" customFormat="false" ht="15" hidden="false" customHeight="true" outlineLevel="0" collapsed="false">
      <c r="A5" s="8" t="s">
        <v>11</v>
      </c>
      <c r="B5" s="9" t="s">
        <v>10</v>
      </c>
      <c r="C5" s="10" t="n">
        <v>8.99</v>
      </c>
      <c r="D5" s="10" t="n">
        <v>3.9</v>
      </c>
      <c r="E5" s="10" t="n">
        <v>0.55</v>
      </c>
      <c r="F5" s="10" t="n">
        <f aca="false">D5+E5</f>
        <v>4.45</v>
      </c>
      <c r="G5" s="10" t="n">
        <f aca="false">C5-F5</f>
        <v>4.54</v>
      </c>
      <c r="H5" s="11" t="n">
        <f aca="false">G5/C5</f>
        <v>0.505005561735261</v>
      </c>
    </row>
    <row r="6" customFormat="false" ht="15" hidden="false" customHeight="true" outlineLevel="0" collapsed="false">
      <c r="A6" s="4" t="s">
        <v>12</v>
      </c>
      <c r="B6" s="5" t="s">
        <v>10</v>
      </c>
      <c r="C6" s="6" t="n">
        <v>9.49</v>
      </c>
      <c r="D6" s="6" t="n">
        <v>2.55</v>
      </c>
      <c r="E6" s="6" t="n">
        <v>0.55</v>
      </c>
      <c r="F6" s="6" t="n">
        <f aca="false">D6+E6</f>
        <v>3.1</v>
      </c>
      <c r="G6" s="6" t="n">
        <f aca="false">C6-F6</f>
        <v>6.39</v>
      </c>
      <c r="H6" s="7" t="n">
        <f aca="false">G6/C6</f>
        <v>0.673340358271865</v>
      </c>
    </row>
    <row r="7" customFormat="false" ht="15" hidden="false" customHeight="true" outlineLevel="0" collapsed="false">
      <c r="A7" s="8" t="s">
        <v>13</v>
      </c>
      <c r="B7" s="9" t="s">
        <v>10</v>
      </c>
      <c r="C7" s="10" t="n">
        <v>9.99</v>
      </c>
      <c r="D7" s="10" t="n">
        <v>2.75</v>
      </c>
      <c r="E7" s="10" t="n">
        <v>0.55</v>
      </c>
      <c r="F7" s="10" t="n">
        <f aca="false">D7+E7</f>
        <v>3.3</v>
      </c>
      <c r="G7" s="10" t="n">
        <f aca="false">C7-F7</f>
        <v>6.69</v>
      </c>
      <c r="H7" s="11" t="n">
        <f aca="false">G7/C7</f>
        <v>0.66966966966967</v>
      </c>
    </row>
    <row r="8" customFormat="false" ht="15" hidden="false" customHeight="true" outlineLevel="0" collapsed="false">
      <c r="A8" s="4" t="s">
        <v>14</v>
      </c>
      <c r="B8" s="5" t="s">
        <v>10</v>
      </c>
      <c r="C8" s="6" t="n">
        <v>10.99</v>
      </c>
      <c r="D8" s="6" t="n">
        <v>3.5</v>
      </c>
      <c r="E8" s="6" t="n">
        <v>0.55</v>
      </c>
      <c r="F8" s="6" t="n">
        <f aca="false">D8+E8</f>
        <v>4.05</v>
      </c>
      <c r="G8" s="6" t="n">
        <f aca="false">C8-F8</f>
        <v>6.94</v>
      </c>
      <c r="H8" s="7" t="n">
        <f aca="false">G8/C8</f>
        <v>0.631483166515014</v>
      </c>
    </row>
    <row r="9" customFormat="false" ht="15" hidden="false" customHeight="true" outlineLevel="0" collapsed="false">
      <c r="A9" s="8" t="s">
        <v>15</v>
      </c>
      <c r="B9" s="9" t="s">
        <v>10</v>
      </c>
      <c r="C9" s="10" t="n">
        <v>17.99</v>
      </c>
      <c r="D9" s="10" t="n">
        <v>5.4</v>
      </c>
      <c r="E9" s="10" t="n">
        <v>0.75</v>
      </c>
      <c r="F9" s="10" t="n">
        <f aca="false">D9+E9</f>
        <v>6.15</v>
      </c>
      <c r="G9" s="10" t="n">
        <f aca="false">C9-F9</f>
        <v>11.84</v>
      </c>
      <c r="H9" s="11" t="n">
        <f aca="false">G9/C9</f>
        <v>0.658143413007226</v>
      </c>
    </row>
    <row r="10" customFormat="false" ht="15" hidden="false" customHeight="true" outlineLevel="0" collapsed="false">
      <c r="A10" s="4" t="s">
        <v>16</v>
      </c>
      <c r="B10" s="5" t="s">
        <v>10</v>
      </c>
      <c r="C10" s="6" t="n">
        <v>10.99</v>
      </c>
      <c r="D10" s="6" t="n">
        <v>3.75</v>
      </c>
      <c r="E10" s="6" t="n">
        <v>0.55</v>
      </c>
      <c r="F10" s="6" t="n">
        <f aca="false">D10+E10</f>
        <v>4.3</v>
      </c>
      <c r="G10" s="6" t="n">
        <f aca="false">C10-F10</f>
        <v>6.69</v>
      </c>
      <c r="H10" s="7" t="n">
        <f aca="false">G10/C10</f>
        <v>0.608735213830755</v>
      </c>
    </row>
    <row r="11" customFormat="false" ht="15" hidden="false" customHeight="true" outlineLevel="0" collapsed="false">
      <c r="A11" s="8" t="s">
        <v>17</v>
      </c>
      <c r="B11" s="9" t="s">
        <v>18</v>
      </c>
      <c r="C11" s="10" t="n">
        <v>3.99</v>
      </c>
      <c r="D11" s="10" t="n">
        <v>0.5</v>
      </c>
      <c r="E11" s="10" t="n">
        <v>0.3</v>
      </c>
      <c r="F11" s="10" t="n">
        <f aca="false">D11+E11</f>
        <v>0.8</v>
      </c>
      <c r="G11" s="10" t="n">
        <f aca="false">C11-F11</f>
        <v>3.19</v>
      </c>
      <c r="H11" s="11" t="n">
        <f aca="false">G11/C11</f>
        <v>0.799498746867168</v>
      </c>
    </row>
    <row r="12" customFormat="false" ht="15" hidden="false" customHeight="true" outlineLevel="0" collapsed="false">
      <c r="A12" s="4" t="s">
        <v>19</v>
      </c>
      <c r="B12" s="5" t="s">
        <v>18</v>
      </c>
      <c r="C12" s="6" t="n">
        <v>2.99</v>
      </c>
      <c r="D12" s="6" t="n">
        <v>1.05</v>
      </c>
      <c r="E12" s="6" t="n">
        <v>0.2</v>
      </c>
      <c r="F12" s="6" t="n">
        <f aca="false">D12+E12</f>
        <v>1.25</v>
      </c>
      <c r="G12" s="6" t="n">
        <f aca="false">C12-F12</f>
        <v>1.74</v>
      </c>
      <c r="H12" s="7" t="n">
        <f aca="false">G12/C12</f>
        <v>0.581939799331104</v>
      </c>
    </row>
    <row r="13" customFormat="false" ht="15" hidden="false" customHeight="true" outlineLevel="0" collapsed="false">
      <c r="A13" s="8" t="s">
        <v>20</v>
      </c>
      <c r="B13" s="9" t="s">
        <v>18</v>
      </c>
      <c r="C13" s="10" t="n">
        <v>2.49</v>
      </c>
      <c r="D13" s="10" t="n">
        <v>0.5</v>
      </c>
      <c r="E13" s="10" t="n">
        <v>0.2</v>
      </c>
      <c r="F13" s="10" t="n">
        <f aca="false">D13+E13</f>
        <v>0.7</v>
      </c>
      <c r="G13" s="10" t="n">
        <f aca="false">C13-F13</f>
        <v>1.79</v>
      </c>
      <c r="H13" s="11" t="n">
        <f aca="false">G13/C13</f>
        <v>0.718875502008032</v>
      </c>
    </row>
    <row r="14" customFormat="false" ht="15" hidden="false" customHeight="true" outlineLevel="0" collapsed="false">
      <c r="A14" s="4" t="s">
        <v>21</v>
      </c>
      <c r="B14" s="5" t="s">
        <v>22</v>
      </c>
      <c r="C14" s="6" t="n">
        <v>2.49</v>
      </c>
      <c r="D14" s="6" t="n">
        <v>0.45</v>
      </c>
      <c r="E14" s="6" t="n">
        <v>0.15</v>
      </c>
      <c r="F14" s="6" t="n">
        <f aca="false">D14+E14</f>
        <v>0.6</v>
      </c>
      <c r="G14" s="6" t="n">
        <f aca="false">C14-F14</f>
        <v>1.89</v>
      </c>
      <c r="H14" s="7" t="n">
        <f aca="false">G14/C14</f>
        <v>0.759036144578313</v>
      </c>
    </row>
    <row r="15" customFormat="false" ht="15" hidden="false" customHeight="true" outlineLevel="0" collapsed="false">
      <c r="A15" s="8" t="s">
        <v>23</v>
      </c>
      <c r="B15" s="9" t="s">
        <v>22</v>
      </c>
      <c r="C15" s="10" t="n">
        <v>2.99</v>
      </c>
      <c r="D15" s="10" t="n">
        <v>0.95</v>
      </c>
      <c r="E15" s="10" t="n">
        <v>0.15</v>
      </c>
      <c r="F15" s="10" t="n">
        <f aca="false">D15+E15</f>
        <v>1.1</v>
      </c>
      <c r="G15" s="10" t="n">
        <f aca="false">C15-F15</f>
        <v>1.89</v>
      </c>
      <c r="H15" s="11" t="n">
        <f aca="false">G15/C15</f>
        <v>0.632107023411371</v>
      </c>
    </row>
    <row r="16" customFormat="false" ht="15" hidden="false" customHeight="true" outlineLevel="0" collapsed="false">
      <c r="A16" s="4" t="s">
        <v>24</v>
      </c>
      <c r="B16" s="5" t="s">
        <v>22</v>
      </c>
      <c r="C16" s="6" t="n">
        <v>0.99</v>
      </c>
      <c r="D16" s="6" t="n">
        <v>0.2</v>
      </c>
      <c r="E16" s="6" t="n">
        <v>0</v>
      </c>
      <c r="F16" s="6" t="n">
        <f aca="false">D16+E16</f>
        <v>0.2</v>
      </c>
      <c r="G16" s="6" t="n">
        <f aca="false">C16-F16</f>
        <v>0.79</v>
      </c>
      <c r="H16" s="7" t="n">
        <f aca="false">G16/C16</f>
        <v>0.797979797979798</v>
      </c>
    </row>
    <row r="17" customFormat="false" ht="15" hidden="false" customHeight="true" outlineLevel="0" collapsed="false">
      <c r="A17" s="12" t="s">
        <v>25</v>
      </c>
      <c r="B17" s="13"/>
      <c r="C17" s="14" t="n">
        <f aca="false">AVERAGE(C4:C16)</f>
        <v>7.22076923076923</v>
      </c>
      <c r="D17" s="14" t="n">
        <f aca="false">AVERAGE(D4:D16)</f>
        <v>2.19615384615385</v>
      </c>
      <c r="E17" s="14" t="n">
        <f aca="false">AVERAGE(E4:E16)</f>
        <v>0.388461538461539</v>
      </c>
      <c r="F17" s="14" t="n">
        <f aca="false">AVERAGE(F4:F16)</f>
        <v>2.58461538461538</v>
      </c>
      <c r="G17" s="14" t="n">
        <f aca="false">AVERAGE(G4:G16)</f>
        <v>4.63615384615385</v>
      </c>
      <c r="H17" s="15" t="n">
        <f aca="false">AVERAGE(H4:H16)</f>
        <v>0.665882132037618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1" width="18"/>
  </cols>
  <sheetData>
    <row r="1" customFormat="false" ht="17.2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B3" s="16" t="s">
        <v>27</v>
      </c>
      <c r="C3" s="16"/>
      <c r="D3" s="16"/>
      <c r="F3" s="16" t="s">
        <v>28</v>
      </c>
      <c r="G3" s="16"/>
      <c r="H3" s="16"/>
      <c r="J3" s="16" t="s">
        <v>29</v>
      </c>
      <c r="K3" s="16"/>
      <c r="L3" s="16"/>
    </row>
    <row r="5" customFormat="false" ht="15" hidden="false" customHeight="true" outlineLevel="0" collapsed="false">
      <c r="B5" s="17" t="s">
        <v>30</v>
      </c>
      <c r="C5" s="18" t="n">
        <v>8</v>
      </c>
      <c r="F5" s="17" t="s">
        <v>30</v>
      </c>
      <c r="G5" s="18" t="n">
        <v>15</v>
      </c>
      <c r="J5" s="17" t="s">
        <v>30</v>
      </c>
      <c r="K5" s="18" t="n">
        <v>25</v>
      </c>
    </row>
    <row r="6" customFormat="false" ht="15" hidden="false" customHeight="true" outlineLevel="0" collapsed="false">
      <c r="B6" s="17" t="s">
        <v>31</v>
      </c>
      <c r="C6" s="18" t="n">
        <v>12</v>
      </c>
      <c r="F6" s="17" t="s">
        <v>31</v>
      </c>
      <c r="G6" s="18" t="n">
        <v>25</v>
      </c>
      <c r="J6" s="17" t="s">
        <v>31</v>
      </c>
      <c r="K6" s="18" t="n">
        <v>40</v>
      </c>
    </row>
    <row r="7" customFormat="false" ht="15" hidden="false" customHeight="true" outlineLevel="0" collapsed="false">
      <c r="B7" s="17" t="s">
        <v>32</v>
      </c>
      <c r="C7" s="18" t="n">
        <v>12</v>
      </c>
      <c r="F7" s="17" t="s">
        <v>32</v>
      </c>
      <c r="G7" s="18" t="n">
        <v>14</v>
      </c>
      <c r="J7" s="17" t="s">
        <v>32</v>
      </c>
      <c r="K7" s="18" t="n">
        <v>15</v>
      </c>
    </row>
    <row r="8" customFormat="false" ht="15" hidden="false" customHeight="true" outlineLevel="0" collapsed="false">
      <c r="B8" s="17" t="s">
        <v>33</v>
      </c>
      <c r="C8" s="18" t="n">
        <v>2</v>
      </c>
      <c r="F8" s="17" t="s">
        <v>33</v>
      </c>
      <c r="G8" s="18" t="n">
        <v>3</v>
      </c>
      <c r="J8" s="17" t="s">
        <v>33</v>
      </c>
      <c r="K8" s="18" t="n">
        <v>2</v>
      </c>
    </row>
    <row r="9" customFormat="false" ht="15" hidden="false" customHeight="true" outlineLevel="0" collapsed="false">
      <c r="B9" s="17" t="s">
        <v>34</v>
      </c>
      <c r="C9" s="18" t="n">
        <v>3</v>
      </c>
      <c r="F9" s="17" t="s">
        <v>34</v>
      </c>
      <c r="G9" s="18" t="n">
        <v>3</v>
      </c>
      <c r="J9" s="17" t="s">
        <v>34</v>
      </c>
      <c r="K9" s="18" t="n">
        <v>4</v>
      </c>
    </row>
    <row r="11" customFormat="false" ht="15" hidden="false" customHeight="true" outlineLevel="0" collapsed="false">
      <c r="B11" s="17" t="s">
        <v>35</v>
      </c>
      <c r="C11" s="19" t="n">
        <f aca="false">(C5*C8)+(C6*C9)</f>
        <v>52</v>
      </c>
      <c r="F11" s="17" t="s">
        <v>35</v>
      </c>
      <c r="G11" s="19" t="n">
        <f aca="false">(G5*G8)+(G6*G9)</f>
        <v>120</v>
      </c>
      <c r="J11" s="17" t="s">
        <v>35</v>
      </c>
      <c r="K11" s="19" t="n">
        <f aca="false">(K5*K8)+(K6*K9)</f>
        <v>210</v>
      </c>
    </row>
    <row r="12" customFormat="false" ht="15" hidden="false" customHeight="true" outlineLevel="0" collapsed="false">
      <c r="B12" s="17" t="s">
        <v>36</v>
      </c>
      <c r="C12" s="20" t="n">
        <f aca="false">C11*C7</f>
        <v>624</v>
      </c>
      <c r="F12" s="17" t="s">
        <v>36</v>
      </c>
      <c r="G12" s="20" t="n">
        <f aca="false">G11*G7</f>
        <v>1680</v>
      </c>
      <c r="J12" s="17" t="s">
        <v>36</v>
      </c>
      <c r="K12" s="20" t="n">
        <f aca="false">K11*K7</f>
        <v>3150</v>
      </c>
    </row>
    <row r="13" customFormat="false" ht="15" hidden="false" customHeight="true" outlineLevel="0" collapsed="false">
      <c r="B13" s="17" t="s">
        <v>37</v>
      </c>
      <c r="C13" s="20" t="n">
        <f aca="false">C12*0.38</f>
        <v>237.12</v>
      </c>
      <c r="F13" s="17" t="s">
        <v>37</v>
      </c>
      <c r="G13" s="20" t="n">
        <f aca="false">G12*0.38</f>
        <v>638.4</v>
      </c>
      <c r="J13" s="17" t="s">
        <v>37</v>
      </c>
      <c r="K13" s="20" t="n">
        <f aca="false">K12*0.38</f>
        <v>1197</v>
      </c>
    </row>
    <row r="14" customFormat="false" ht="15" hidden="false" customHeight="true" outlineLevel="0" collapsed="false">
      <c r="B14" s="17" t="s">
        <v>38</v>
      </c>
      <c r="C14" s="20" t="n">
        <f aca="false">C11*2</f>
        <v>104</v>
      </c>
      <c r="F14" s="17" t="s">
        <v>38</v>
      </c>
      <c r="G14" s="20" t="n">
        <f aca="false">G11*2</f>
        <v>240</v>
      </c>
      <c r="J14" s="17" t="s">
        <v>38</v>
      </c>
      <c r="K14" s="20" t="n">
        <f aca="false">K11*2</f>
        <v>420</v>
      </c>
    </row>
    <row r="15" customFormat="false" ht="15" hidden="false" customHeight="true" outlineLevel="0" collapsed="false">
      <c r="B15" s="17" t="s">
        <v>39</v>
      </c>
      <c r="C15" s="20" t="n">
        <v>55</v>
      </c>
      <c r="F15" s="17" t="s">
        <v>39</v>
      </c>
      <c r="G15" s="20" t="n">
        <v>55</v>
      </c>
      <c r="J15" s="17" t="s">
        <v>39</v>
      </c>
      <c r="K15" s="20" t="n">
        <v>55</v>
      </c>
    </row>
    <row r="16" customFormat="false" ht="15" hidden="false" customHeight="true" outlineLevel="0" collapsed="false">
      <c r="B16" s="21" t="s">
        <v>40</v>
      </c>
      <c r="C16" s="14" t="n">
        <f aca="false">C12-C13-C14-C15</f>
        <v>227.88</v>
      </c>
      <c r="F16" s="21" t="s">
        <v>40</v>
      </c>
      <c r="G16" s="14" t="n">
        <f aca="false">G12-G13-G14-G15</f>
        <v>746.6</v>
      </c>
      <c r="J16" s="21" t="s">
        <v>40</v>
      </c>
      <c r="K16" s="14" t="n">
        <f aca="false">K12-K13-K14-K15</f>
        <v>1478</v>
      </c>
    </row>
    <row r="17" customFormat="false" ht="15" hidden="false" customHeight="true" outlineLevel="0" collapsed="false">
      <c r="B17" s="21" t="s">
        <v>41</v>
      </c>
      <c r="C17" s="14" t="n">
        <f aca="false">C16*4.3</f>
        <v>979.884</v>
      </c>
      <c r="F17" s="21" t="s">
        <v>41</v>
      </c>
      <c r="G17" s="14" t="n">
        <f aca="false">G16*4.3</f>
        <v>3210.38</v>
      </c>
      <c r="J17" s="21" t="s">
        <v>41</v>
      </c>
      <c r="K17" s="14" t="n">
        <f aca="false">K16*4.3</f>
        <v>6355.4</v>
      </c>
    </row>
    <row r="18" customFormat="false" ht="15" hidden="false" customHeight="true" outlineLevel="0" collapsed="false">
      <c r="B18" s="17" t="s">
        <v>42</v>
      </c>
      <c r="C18" s="20" t="n">
        <f aca="false">C16*52</f>
        <v>11849.76</v>
      </c>
      <c r="F18" s="17" t="s">
        <v>42</v>
      </c>
      <c r="G18" s="20" t="n">
        <f aca="false">G16*52</f>
        <v>38823.2</v>
      </c>
      <c r="J18" s="17" t="s">
        <v>42</v>
      </c>
      <c r="K18" s="20" t="n">
        <f aca="false">K16*52</f>
        <v>76856</v>
      </c>
    </row>
  </sheetData>
  <mergeCells count="4">
    <mergeCell ref="A1:L1"/>
    <mergeCell ref="B3:D3"/>
    <mergeCell ref="F3:H3"/>
    <mergeCell ref="J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43</v>
      </c>
      <c r="B1" s="2"/>
      <c r="C1" s="2"/>
      <c r="D1" s="2"/>
    </row>
    <row r="2" customFormat="false" ht="15" hidden="false" customHeight="false" outlineLevel="0" collapsed="false">
      <c r="A2" s="22" t="s">
        <v>44</v>
      </c>
      <c r="B2" s="22"/>
      <c r="C2" s="22"/>
    </row>
    <row r="3" customFormat="false" ht="15" hidden="false" customHeight="true" outlineLevel="0" collapsed="false">
      <c r="A3" s="23" t="s">
        <v>45</v>
      </c>
      <c r="B3" s="23"/>
      <c r="C3" s="23"/>
    </row>
    <row r="4" customFormat="false" ht="15" hidden="false" customHeight="true" outlineLevel="0" collapsed="false">
      <c r="A4" s="17" t="s">
        <v>46</v>
      </c>
      <c r="B4" s="24" t="n">
        <v>25</v>
      </c>
      <c r="C4" s="25" t="s">
        <v>47</v>
      </c>
    </row>
    <row r="5" customFormat="false" ht="15" hidden="false" customHeight="true" outlineLevel="0" collapsed="false">
      <c r="A5" s="17" t="s">
        <v>48</v>
      </c>
      <c r="B5" s="24" t="n">
        <v>0</v>
      </c>
      <c r="C5" s="25" t="s">
        <v>49</v>
      </c>
    </row>
    <row r="6" customFormat="false" ht="15" hidden="false" customHeight="true" outlineLevel="0" collapsed="false">
      <c r="A6" s="17" t="s">
        <v>50</v>
      </c>
      <c r="B6" s="24" t="n">
        <v>200</v>
      </c>
      <c r="C6" s="25" t="s">
        <v>51</v>
      </c>
    </row>
    <row r="7" customFormat="false" ht="15" hidden="false" customHeight="true" outlineLevel="0" collapsed="false">
      <c r="A7" s="17" t="s">
        <v>52</v>
      </c>
      <c r="B7" s="24" t="n">
        <v>150</v>
      </c>
      <c r="C7" s="25" t="s">
        <v>53</v>
      </c>
    </row>
    <row r="8" customFormat="false" ht="15" hidden="false" customHeight="true" outlineLevel="0" collapsed="false">
      <c r="A8" s="17" t="s">
        <v>54</v>
      </c>
      <c r="B8" s="24" t="n">
        <v>80</v>
      </c>
      <c r="C8" s="25" t="s">
        <v>55</v>
      </c>
    </row>
    <row r="9" customFormat="false" ht="15" hidden="false" customHeight="true" outlineLevel="0" collapsed="false">
      <c r="A9" s="17" t="s">
        <v>56</v>
      </c>
      <c r="B9" s="24" t="n">
        <v>40</v>
      </c>
      <c r="C9" s="25" t="s">
        <v>57</v>
      </c>
    </row>
    <row r="10" customFormat="false" ht="15" hidden="false" customHeight="true" outlineLevel="0" collapsed="false">
      <c r="A10" s="17" t="s">
        <v>58</v>
      </c>
      <c r="B10" s="24" t="n">
        <v>15</v>
      </c>
      <c r="C10" s="25" t="s">
        <v>59</v>
      </c>
    </row>
    <row r="11" customFormat="false" ht="15" hidden="false" customHeight="true" outlineLevel="0" collapsed="false">
      <c r="A11" s="17" t="s">
        <v>60</v>
      </c>
      <c r="B11" s="24" t="n">
        <v>0</v>
      </c>
      <c r="C11" s="25" t="s">
        <v>61</v>
      </c>
    </row>
    <row r="12" customFormat="false" ht="15" hidden="false" customHeight="true" outlineLevel="0" collapsed="false">
      <c r="A12" s="17" t="s">
        <v>62</v>
      </c>
      <c r="B12" s="24" t="n">
        <v>0</v>
      </c>
      <c r="C12" s="25" t="s">
        <v>63</v>
      </c>
    </row>
    <row r="13" customFormat="false" ht="15" hidden="false" customHeight="true" outlineLevel="0" collapsed="false">
      <c r="A13" s="17" t="s">
        <v>64</v>
      </c>
      <c r="B13" s="24" t="n">
        <v>30</v>
      </c>
      <c r="C13" s="25" t="s">
        <v>65</v>
      </c>
    </row>
    <row r="14" customFormat="false" ht="15" hidden="false" customHeight="true" outlineLevel="0" collapsed="false">
      <c r="A14" s="17" t="s">
        <v>66</v>
      </c>
      <c r="B14" s="24" t="n">
        <v>120</v>
      </c>
      <c r="C14" s="25" t="s">
        <v>67</v>
      </c>
    </row>
    <row r="15" customFormat="false" ht="15" hidden="false" customHeight="true" outlineLevel="0" collapsed="false">
      <c r="A15" s="17" t="s">
        <v>68</v>
      </c>
      <c r="B15" s="24" t="n">
        <v>15</v>
      </c>
      <c r="C15" s="25" t="s">
        <v>69</v>
      </c>
    </row>
    <row r="16" customFormat="false" ht="15" hidden="false" customHeight="true" outlineLevel="0" collapsed="false">
      <c r="A16" s="21" t="s">
        <v>70</v>
      </c>
      <c r="B16" s="26" t="n">
        <f aca="false">SUM(B4:B15)</f>
        <v>675</v>
      </c>
    </row>
    <row r="18" customFormat="false" ht="15" hidden="false" customHeight="true" outlineLevel="0" collapsed="false">
      <c r="A18" s="27" t="s">
        <v>71</v>
      </c>
      <c r="B18" s="27"/>
      <c r="C18" s="27"/>
    </row>
    <row r="19" customFormat="false" ht="15" hidden="false" customHeight="true" outlineLevel="0" collapsed="false">
      <c r="A19" s="17" t="s">
        <v>72</v>
      </c>
      <c r="B19" s="28" t="n">
        <v>1373</v>
      </c>
      <c r="C19" s="25" t="s">
        <v>73</v>
      </c>
    </row>
    <row r="20" customFormat="false" ht="15" hidden="false" customHeight="true" outlineLevel="0" collapsed="false">
      <c r="A20" s="17" t="s">
        <v>74</v>
      </c>
      <c r="B20" s="28" t="n">
        <v>205</v>
      </c>
      <c r="C20" s="25" t="s">
        <v>75</v>
      </c>
    </row>
    <row r="21" customFormat="false" ht="15" hidden="false" customHeight="true" outlineLevel="0" collapsed="false">
      <c r="A21" s="29" t="s">
        <v>76</v>
      </c>
      <c r="B21" s="30" t="n">
        <f aca="false">SUM(B19:B20)</f>
        <v>1578</v>
      </c>
      <c r="C21" s="25" t="s">
        <v>77</v>
      </c>
    </row>
    <row r="22" customFormat="false" ht="15" hidden="false" customHeight="true" outlineLevel="0" collapsed="false">
      <c r="A22" s="17" t="s">
        <v>78</v>
      </c>
      <c r="B22" s="24" t="n">
        <v>10</v>
      </c>
      <c r="C22" s="25" t="s">
        <v>79</v>
      </c>
    </row>
    <row r="23" customFormat="false" ht="15" hidden="false" customHeight="true" outlineLevel="0" collapsed="false">
      <c r="A23" s="17" t="s">
        <v>80</v>
      </c>
      <c r="B23" s="24" t="n">
        <v>15</v>
      </c>
      <c r="C23" s="25" t="s">
        <v>81</v>
      </c>
    </row>
    <row r="24" customFormat="false" ht="15" hidden="false" customHeight="true" outlineLevel="0" collapsed="false">
      <c r="A24" s="17" t="s">
        <v>82</v>
      </c>
      <c r="B24" s="24" t="n">
        <v>30</v>
      </c>
      <c r="C24" s="25" t="s">
        <v>83</v>
      </c>
    </row>
    <row r="25" customFormat="false" ht="15" hidden="false" customHeight="true" outlineLevel="0" collapsed="false">
      <c r="A25" s="21" t="s">
        <v>84</v>
      </c>
      <c r="B25" s="26" t="n">
        <f aca="false">SUM(B19:B24)</f>
        <v>3211</v>
      </c>
    </row>
  </sheetData>
  <mergeCells count="4">
    <mergeCell ref="A1:D1"/>
    <mergeCell ref="A2:C2"/>
    <mergeCell ref="A3:C3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8"/>
  </cols>
  <sheetData>
    <row r="1" customFormat="false" ht="17.25" hidden="false" customHeight="true" outlineLevel="0" collapsed="false">
      <c r="A1" s="2" t="s">
        <v>85</v>
      </c>
      <c r="B1" s="2"/>
      <c r="C1" s="2"/>
      <c r="D1" s="2"/>
    </row>
    <row r="3" customFormat="false" ht="15" hidden="false" customHeight="true" outlineLevel="0" collapsed="false">
      <c r="A3" s="23" t="s">
        <v>86</v>
      </c>
      <c r="B3" s="31"/>
    </row>
    <row r="4" customFormat="false" ht="15" hidden="false" customHeight="true" outlineLevel="0" collapsed="false">
      <c r="A4" s="17" t="s">
        <v>87</v>
      </c>
      <c r="B4" s="20" t="n">
        <f aca="false">'Startup Costs'!B22</f>
        <v>10</v>
      </c>
    </row>
    <row r="5" customFormat="false" ht="15" hidden="false" customHeight="true" outlineLevel="0" collapsed="false">
      <c r="A5" s="17" t="s">
        <v>88</v>
      </c>
      <c r="B5" s="20" t="n">
        <f aca="false">'Menu Cost Breakdown'!C17</f>
        <v>7.22076923076923</v>
      </c>
    </row>
    <row r="6" customFormat="false" ht="15" hidden="false" customHeight="true" outlineLevel="0" collapsed="false">
      <c r="A6" s="17" t="s">
        <v>89</v>
      </c>
      <c r="B6" s="20" t="n">
        <f aca="false">'Menu Cost Breakdown'!F17</f>
        <v>2.58461538461538</v>
      </c>
    </row>
    <row r="7" customFormat="false" ht="15" hidden="false" customHeight="true" outlineLevel="0" collapsed="false">
      <c r="A7" s="17" t="s">
        <v>90</v>
      </c>
      <c r="B7" s="20" t="n">
        <v>2</v>
      </c>
    </row>
    <row r="8" customFormat="false" ht="15" hidden="false" customHeight="true" outlineLevel="0" collapsed="false">
      <c r="A8" s="17" t="s">
        <v>91</v>
      </c>
      <c r="B8" s="20" t="n">
        <f aca="false">B5-B6-B7</f>
        <v>2.63615384615385</v>
      </c>
    </row>
    <row r="9" customFormat="false" ht="15" hidden="false" customHeight="true" outlineLevel="0" collapsed="false">
      <c r="A9" s="17" t="s">
        <v>92</v>
      </c>
      <c r="B9" s="32" t="n">
        <f aca="false">B8/B5</f>
        <v>0.365079365079365</v>
      </c>
    </row>
    <row r="10" customFormat="false" ht="15" hidden="false" customHeight="true" outlineLevel="0" collapsed="false">
      <c r="A10" s="17" t="s">
        <v>93</v>
      </c>
      <c r="B10" s="19" t="n">
        <v>24</v>
      </c>
    </row>
    <row r="12" customFormat="false" ht="15" hidden="false" customHeight="true" outlineLevel="0" collapsed="false">
      <c r="A12" s="21" t="s">
        <v>94</v>
      </c>
      <c r="B12" s="33" t="n">
        <f aca="false">ROUNDUP(B4/B8,0)</f>
        <v>4</v>
      </c>
    </row>
    <row r="13" customFormat="false" ht="15" hidden="false" customHeight="true" outlineLevel="0" collapsed="false">
      <c r="A13" s="21" t="s">
        <v>95</v>
      </c>
      <c r="B13" s="33" t="n">
        <f aca="false">ROUNDUP(B12/B10,0)</f>
        <v>1</v>
      </c>
    </row>
    <row r="15" customFormat="false" ht="15" hidden="false" customHeight="true" outlineLevel="0" collapsed="false">
      <c r="A15" s="23" t="s">
        <v>96</v>
      </c>
      <c r="B15" s="23"/>
      <c r="C15" s="23"/>
    </row>
    <row r="16" customFormat="false" ht="15" hidden="false" customHeight="true" outlineLevel="0" collapsed="false">
      <c r="A16" s="34" t="s">
        <v>97</v>
      </c>
      <c r="B16" s="34" t="s">
        <v>98</v>
      </c>
      <c r="C16" s="34" t="s">
        <v>99</v>
      </c>
    </row>
    <row r="17" customFormat="false" ht="15" hidden="false" customHeight="true" outlineLevel="0" collapsed="false">
      <c r="A17" s="9" t="n">
        <v>5</v>
      </c>
      <c r="B17" s="35" t="n">
        <f aca="false">A17*$B$10</f>
        <v>120</v>
      </c>
      <c r="C17" s="36" t="n">
        <f aca="false">(B17*$B$8)-$B$4</f>
        <v>306.338461538462</v>
      </c>
    </row>
    <row r="18" customFormat="false" ht="15" hidden="false" customHeight="true" outlineLevel="0" collapsed="false">
      <c r="A18" s="9" t="n">
        <v>10</v>
      </c>
      <c r="B18" s="35" t="n">
        <f aca="false">A18*$B$10</f>
        <v>240</v>
      </c>
      <c r="C18" s="36" t="n">
        <f aca="false">(B18*$B$8)-$B$4</f>
        <v>622.676923076923</v>
      </c>
    </row>
    <row r="19" customFormat="false" ht="15" hidden="false" customHeight="true" outlineLevel="0" collapsed="false">
      <c r="A19" s="9" t="n">
        <v>15</v>
      </c>
      <c r="B19" s="35" t="n">
        <f aca="false">A19*$B$10</f>
        <v>360</v>
      </c>
      <c r="C19" s="36" t="n">
        <f aca="false">(B19*$B$8)-$B$4</f>
        <v>939.015384615385</v>
      </c>
    </row>
    <row r="20" customFormat="false" ht="15" hidden="false" customHeight="true" outlineLevel="0" collapsed="false">
      <c r="A20" s="9" t="n">
        <v>20</v>
      </c>
      <c r="B20" s="35" t="n">
        <f aca="false">A20*$B$10</f>
        <v>480</v>
      </c>
      <c r="C20" s="36" t="n">
        <f aca="false">(B20*$B$8)-$B$4</f>
        <v>1255.35384615385</v>
      </c>
    </row>
    <row r="21" customFormat="false" ht="15" hidden="false" customHeight="true" outlineLevel="0" collapsed="false">
      <c r="A21" s="9" t="n">
        <v>25</v>
      </c>
      <c r="B21" s="35" t="n">
        <f aca="false">A21*$B$10</f>
        <v>600</v>
      </c>
      <c r="C21" s="36" t="n">
        <f aca="false">(B21*$B$8)-$B$4</f>
        <v>1571.69230769231</v>
      </c>
    </row>
    <row r="22" customFormat="false" ht="15" hidden="false" customHeight="true" outlineLevel="0" collapsed="false">
      <c r="A22" s="9" t="n">
        <v>30</v>
      </c>
      <c r="B22" s="35" t="n">
        <f aca="false">A22*$B$10</f>
        <v>720</v>
      </c>
      <c r="C22" s="36" t="n">
        <f aca="false">(B22*$B$8)-$B$4</f>
        <v>1888.03076923077</v>
      </c>
    </row>
    <row r="23" customFormat="false" ht="15" hidden="false" customHeight="true" outlineLevel="0" collapsed="false">
      <c r="A23" s="9" t="n">
        <v>35</v>
      </c>
      <c r="B23" s="35" t="n">
        <f aca="false">A23*$B$10</f>
        <v>840</v>
      </c>
      <c r="C23" s="36" t="n">
        <f aca="false">(B23*$B$8)-$B$4</f>
        <v>2204.36923076923</v>
      </c>
    </row>
    <row r="24" customFormat="false" ht="15" hidden="false" customHeight="true" outlineLevel="0" collapsed="false">
      <c r="A24" s="9" t="n">
        <v>40</v>
      </c>
      <c r="B24" s="35" t="n">
        <f aca="false">A24*$B$10</f>
        <v>960</v>
      </c>
      <c r="C24" s="36" t="n">
        <f aca="false">(B24*$B$8)-$B$4</f>
        <v>2520.70769230769</v>
      </c>
    </row>
  </sheetData>
  <mergeCells count="2">
    <mergeCell ref="A1:D1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2026-05-30T06:08:53Z</dcterms:created>
  <dc:creator>openpyxl</dc:creator>
  <dc:description/>
  <dc:language>en-GB</dc:language>
  <cp:lastModifiedBy/>
  <dcterms:modified xsi:type="dcterms:W3CDTF">2026-05-30T11:05:00Z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